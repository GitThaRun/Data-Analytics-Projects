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ata Analytics\Excel for Data Analytics\Projects\Excel-Projects\E-commerce_Sales_And_Customer_Analysis_Dashboard\"/>
    </mc:Choice>
  </mc:AlternateContent>
  <xr:revisionPtr revIDLastSave="0" documentId="13_ncr:1_{AAF40B4C-EBDC-439E-A836-0817EFAE42B7}" xr6:coauthVersionLast="47" xr6:coauthVersionMax="47" xr10:uidLastSave="{00000000-0000-0000-0000-000000000000}"/>
  <bookViews>
    <workbookView xWindow="-108" yWindow="-108" windowWidth="23256" windowHeight="13176" activeTab="2" xr2:uid="{346724B3-1C49-40AE-AA36-C77CF5D6DD09}"/>
  </bookViews>
  <sheets>
    <sheet name="Data" sheetId="1" r:id="rId1"/>
    <sheet name="pivot_backend" sheetId="5" r:id="rId2"/>
    <sheet name="Dashboard" sheetId="6" r:id="rId3"/>
  </sheets>
  <definedNames>
    <definedName name="_xlchart.v5.0" hidden="1">pivot_backend!$G$80:$H$80</definedName>
    <definedName name="_xlchart.v5.1" hidden="1">pivot_backend!$G$81:$H$138</definedName>
    <definedName name="_xlchart.v5.2" hidden="1">pivot_backend!$I$80</definedName>
    <definedName name="_xlchart.v5.3" hidden="1">pivot_backend!$I$81:$I$138</definedName>
    <definedName name="_xlchart.v5.4" hidden="1">pivot_backend!$K$80:$L$80</definedName>
    <definedName name="_xlchart.v5.5" hidden="1">pivot_backend!$K$81:$L$138</definedName>
    <definedName name="_xlchart.v5.6" hidden="1">pivot_backend!$M$80</definedName>
    <definedName name="_xlchart.v5.7" hidden="1">pivot_backend!$M$81:$M$138</definedName>
    <definedName name="Slicer_Gender_Value">#N/A</definedName>
    <definedName name="Slicer_Order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2" i="5" l="1"/>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81" i="5"/>
  <c r="M131" i="5"/>
  <c r="M132" i="5"/>
  <c r="M133" i="5"/>
  <c r="M134" i="5"/>
  <c r="M135" i="5"/>
  <c r="M136" i="5"/>
  <c r="M137" i="5"/>
  <c r="M138"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L81" i="5"/>
  <c r="K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81" i="5"/>
  <c r="G115" i="5"/>
  <c r="G116" i="5"/>
  <c r="G117" i="5"/>
  <c r="G118" i="5"/>
  <c r="G119" i="5"/>
  <c r="G120" i="5"/>
  <c r="G121" i="5"/>
  <c r="G122" i="5"/>
  <c r="G123" i="5"/>
  <c r="G124" i="5"/>
  <c r="G125" i="5"/>
  <c r="G126" i="5"/>
  <c r="G127" i="5"/>
  <c r="G128" i="5"/>
  <c r="G129" i="5"/>
  <c r="G130" i="5"/>
  <c r="G131" i="5"/>
  <c r="G132" i="5"/>
  <c r="G133" i="5"/>
  <c r="G134" i="5"/>
  <c r="G135" i="5"/>
  <c r="G136" i="5"/>
  <c r="G137" i="5"/>
  <c r="G138"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81" i="5"/>
  <c r="H80" i="5"/>
  <c r="G80" i="5"/>
  <c r="P10" i="5"/>
  <c r="Q10" i="5"/>
  <c r="R10" i="5"/>
  <c r="O10" i="5"/>
  <c r="N13" i="5"/>
  <c r="O13" i="5"/>
  <c r="P13" i="5"/>
  <c r="Q13" i="5"/>
  <c r="R13" i="5"/>
  <c r="N14" i="5"/>
  <c r="O14" i="5"/>
  <c r="P14" i="5"/>
  <c r="Q14" i="5"/>
  <c r="R14" i="5"/>
  <c r="N15" i="5"/>
  <c r="O15" i="5"/>
  <c r="P15" i="5"/>
  <c r="Q15" i="5"/>
  <c r="R15" i="5"/>
  <c r="N12" i="5"/>
  <c r="O12" i="5"/>
  <c r="P12" i="5"/>
  <c r="Q12" i="5"/>
  <c r="R12" i="5"/>
  <c r="O11" i="5"/>
  <c r="P11" i="5"/>
  <c r="Q11" i="5"/>
  <c r="R11" i="5"/>
  <c r="N11" i="5"/>
  <c r="I4" i="5"/>
  <c r="G4" i="5"/>
  <c r="K4" i="5"/>
  <c r="J4" i="5"/>
  <c r="H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<sst xmlns="http://schemas.openxmlformats.org/spreadsheetml/2006/main" count="14623" uniqueCount="2527">
  <si>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</si>
  <si>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</si>
  <si>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</si>
  <si>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</si>
  <si>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</si>
  <si>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</si>
  <si>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</si>
  <si>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</si>
  <si>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</si>
  <si>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</si>
  <si>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</si>
  <si>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</si>
  <si>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</si>
  <si>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</si>
  <si>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</si>
  <si>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</si>
  <si>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</si>
  <si>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</si>
  <si>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</si>
  <si>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</si>
  <si>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</si>
  <si>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</si>
  <si>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</si>
  <si>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</si>
  <si>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</si>
  <si>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</si>
  <si>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</si>
  <si>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</si>
  <si>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</si>
  <si>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</si>
  <si>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</si>
  <si>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</si>
  <si>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</si>
  <si>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</si>
  <si>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</si>
  <si>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</si>
  <si>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</si>
  <si>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</si>
  <si>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</si>
  <si>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</si>
  <si>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</si>
  <si>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</si>
  <si>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</si>
  <si>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</si>
  <si>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</si>
  <si>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</si>
  <si>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</si>
  <si>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</si>
  <si>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</si>
  <si>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</si>
  <si>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</si>
  <si>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</si>
  <si>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</si>
  <si>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</si>
  <si>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</si>
  <si>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</si>
  <si>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</si>
  <si>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</si>
  <si>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</si>
  <si>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</si>
  <si>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</si>
  <si>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</si>
  <si>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</si>
  <si>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</si>
  <si>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</si>
  <si>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</si>
  <si>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</si>
  <si>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</si>
  <si>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</si>
  <si>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</si>
  <si>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</si>
  <si>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</si>
  <si>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</si>
  <si>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</si>
  <si>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</si>
  <si>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</si>
  <si>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</si>
  <si>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</si>
  <si>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</si>
  <si>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</si>
  <si>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</si>
  <si>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</si>
  <si>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</si>
  <si>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</si>
  <si>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</si>
  <si>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</si>
  <si>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</si>
  <si>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</si>
  <si>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</si>
  <si>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</si>
  <si>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</si>
  <si>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</si>
  <si>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</si>
  <si>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</si>
  <si>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</si>
  <si>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</si>
  <si>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</si>
  <si>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</si>
  <si>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</si>
  <si>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</si>
  <si>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</si>
  <si>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</si>
  <si>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</si>
  <si>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</si>
  <si>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</si>
  <si>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</si>
  <si>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</si>
  <si>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</si>
  <si>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</si>
  <si>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</si>
  <si>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</si>
  <si>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</si>
  <si>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</si>
  <si>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</si>
  <si>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</si>
  <si>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</si>
  <si>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</si>
  <si>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</si>
  <si>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</si>
  <si>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</si>
  <si>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</si>
  <si>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</si>
  <si>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</si>
  <si>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</si>
  <si>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</si>
  <si>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</si>
  <si>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</si>
  <si>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</si>
  <si>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</si>
  <si>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</si>
  <si>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</si>
  <si>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</si>
  <si>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</si>
  <si>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</si>
  <si>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</si>
  <si>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</si>
  <si>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</si>
  <si>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</si>
  <si>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</si>
  <si>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</si>
  <si>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</si>
  <si>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</si>
  <si>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</si>
  <si>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</si>
  <si>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</si>
  <si>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</si>
  <si>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</si>
  <si>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</si>
  <si>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</si>
  <si>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</si>
  <si>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</si>
  <si>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</si>
  <si>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</si>
  <si>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</si>
  <si>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</si>
  <si>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</si>
  <si>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</si>
  <si>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</si>
  <si>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</si>
  <si>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</si>
  <si>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</si>
  <si>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</si>
  <si>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</si>
  <si>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</si>
  <si>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</si>
  <si>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</si>
  <si>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</si>
  <si>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</si>
  <si>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</si>
  <si>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</si>
  <si>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</si>
  <si>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</si>
  <si>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</si>
  <si>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</si>
  <si>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</si>
  <si>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</si>
  <si>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</si>
  <si>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</si>
  <si>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</si>
  <si>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</si>
  <si>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</si>
  <si>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</si>
  <si>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</si>
  <si>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</si>
  <si>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</si>
  <si>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</si>
  <si>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</si>
  <si>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</si>
  <si>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</si>
  <si>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</si>
  <si>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</si>
  <si>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</si>
  <si>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</si>
  <si>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</si>
  <si>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</si>
  <si>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</si>
  <si>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</si>
  <si>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</si>
  <si>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</si>
  <si>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</si>
  <si>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</si>
  <si>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</si>
  <si>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</si>
  <si>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</si>
  <si>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</si>
  <si>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</si>
  <si>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</si>
  <si>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</si>
  <si>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</si>
  <si>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</si>
  <si>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</si>
  <si>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</si>
  <si>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</si>
  <si>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</si>
  <si>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</si>
  <si>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</si>
  <si>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</si>
  <si>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</si>
  <si>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</si>
  <si>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</si>
  <si>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</si>
  <si>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</si>
  <si>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</si>
  <si>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</si>
  <si>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</si>
  <si>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</si>
  <si>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</si>
  <si>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</si>
  <si>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</si>
  <si>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</si>
  <si>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</si>
  <si>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</si>
  <si>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</si>
  <si>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</si>
  <si>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</si>
  <si>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</si>
  <si>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</si>
  <si>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</si>
  <si>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</si>
  <si>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</si>
  <si>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</si>
  <si>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</si>
  <si>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</si>
  <si>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</si>
  <si>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</si>
  <si>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</si>
  <si>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</si>
  <si>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</si>
  <si>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</si>
  <si>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</si>
  <si>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</si>
  <si>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</si>
  <si>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</si>
  <si>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</si>
  <si>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</si>
  <si>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</si>
  <si>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</si>
  <si>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</si>
  <si>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</si>
  <si>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</si>
  <si>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</si>
  <si>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</si>
  <si>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</si>
  <si>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</si>
  <si>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</si>
  <si>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</si>
  <si>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</si>
  <si>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</si>
  <si>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</si>
  <si>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</si>
  <si>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</si>
  <si>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</si>
  <si>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</si>
  <si>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</si>
  <si>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</si>
  <si>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</si>
  <si>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</si>
  <si>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</si>
  <si>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</si>
  <si>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</si>
  <si>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</si>
  <si>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</si>
  <si>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</si>
  <si>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</si>
  <si>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</si>
  <si>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</si>
  <si>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</si>
  <si>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</si>
  <si>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</si>
  <si>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</si>
  <si>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</si>
  <si>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</si>
  <si>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</si>
  <si>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</si>
  <si>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</si>
  <si>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</si>
  <si>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</si>
  <si>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</si>
  <si>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</si>
  <si>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</si>
  <si>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</si>
  <si>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</si>
  <si>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</si>
  <si>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</si>
  <si>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</si>
  <si>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</si>
  <si>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</si>
  <si>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</si>
  <si>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</si>
  <si>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</si>
  <si>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</si>
  <si>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</si>
  <si>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</si>
  <si>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</si>
  <si>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</si>
  <si>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</si>
  <si>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</si>
  <si>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</si>
  <si>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</si>
  <si>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</si>
  <si>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</si>
  <si>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</si>
  <si>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</si>
  <si>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</si>
  <si>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</si>
  <si>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</si>
  <si>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</si>
  <si>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</si>
  <si>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</si>
  <si>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</si>
  <si>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</si>
  <si>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</si>
  <si>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</si>
  <si>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</si>
  <si>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</si>
  <si>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</si>
  <si>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</si>
  <si>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</si>
  <si>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</si>
  <si>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</si>
  <si>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</si>
  <si>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</si>
  <si>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</si>
  <si>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</si>
  <si>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</si>
  <si>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</si>
  <si>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</si>
  <si>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</si>
  <si>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</si>
  <si>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</si>
  <si>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</si>
  <si>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</si>
  <si>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</si>
  <si>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</si>
  <si>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</si>
  <si>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</si>
  <si>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</si>
  <si>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</si>
  <si>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</si>
  <si>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</si>
  <si>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</si>
  <si>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</si>
  <si>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</si>
  <si>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</si>
  <si>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</si>
  <si>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</si>
  <si>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</si>
  <si>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</si>
  <si>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</si>
  <si>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</si>
  <si>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</si>
  <si>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</si>
  <si>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</si>
  <si>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</si>
  <si>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</si>
  <si>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</si>
  <si>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</si>
  <si>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</si>
  <si>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</si>
  <si>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</si>
  <si>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</si>
  <si>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</si>
  <si>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</si>
  <si>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</si>
  <si>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</si>
  <si>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</si>
  <si>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</si>
  <si>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</si>
  <si>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</si>
  <si>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</si>
  <si>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</si>
  <si>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</si>
  <si>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</si>
  <si>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</si>
  <si>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</si>
  <si>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</si>
  <si>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</si>
  <si>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</si>
  <si>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</si>
  <si>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</si>
  <si>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</si>
  <si>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</si>
  <si>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</si>
  <si>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</si>
  <si>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</si>
  <si>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</si>
  <si>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</si>
  <si>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</si>
  <si>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</si>
  <si>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</si>
  <si>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</si>
  <si>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</si>
  <si>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</si>
  <si>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</si>
  <si>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</si>
  <si>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</si>
  <si>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</si>
  <si>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</si>
  <si>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</si>
  <si>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</si>
  <si>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</si>
  <si>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</si>
  <si>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</si>
  <si>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</si>
  <si>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</si>
  <si>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</si>
  <si>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</si>
  <si>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</si>
  <si>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</si>
  <si>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</si>
  <si>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</si>
  <si>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</si>
  <si>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</si>
  <si>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</si>
  <si>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</si>
  <si>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</si>
  <si>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</si>
  <si>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</si>
  <si>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</si>
  <si>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</si>
  <si>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</si>
  <si>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</si>
  <si>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</si>
  <si>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</si>
  <si>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</si>
  <si>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</si>
  <si>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</si>
  <si>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</si>
  <si>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</si>
  <si>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</si>
  <si>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</si>
  <si>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</si>
  <si>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</si>
  <si>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</si>
  <si>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</si>
  <si>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</si>
  <si>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</si>
  <si>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</si>
  <si>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</si>
  <si>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</si>
  <si>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</si>
  <si>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</si>
  <si>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</si>
  <si>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</si>
  <si>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</si>
  <si>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</si>
  <si>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</si>
  <si>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</si>
  <si>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</si>
  <si>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</si>
  <si>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</si>
  <si>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</si>
  <si>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</si>
  <si>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</si>
  <si>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</si>
  <si>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</si>
  <si>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</si>
  <si>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</si>
  <si>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</si>
  <si>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</si>
  <si>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</si>
  <si>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</si>
  <si>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</si>
  <si>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</si>
  <si>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</si>
  <si>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</si>
  <si>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</si>
  <si>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</si>
  <si>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</si>
  <si>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</si>
  <si>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</si>
  <si>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</si>
  <si>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</si>
  <si>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</si>
  <si>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</si>
  <si>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</si>
  <si>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</si>
  <si>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</si>
  <si>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</si>
  <si>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</si>
  <si>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</si>
  <si>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</si>
  <si>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</si>
  <si>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</si>
  <si>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</si>
  <si>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</si>
  <si>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</si>
  <si>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</si>
  <si>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</si>
  <si>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</si>
  <si>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</si>
  <si>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</si>
  <si>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</si>
  <si>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</si>
  <si>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</si>
  <si>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</si>
  <si>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</si>
  <si>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</si>
  <si>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</si>
  <si>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</si>
  <si>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</si>
  <si>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</si>
  <si>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</si>
  <si>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</si>
  <si>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</si>
  <si>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</si>
  <si>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</si>
  <si>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</si>
  <si>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</si>
  <si>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</si>
  <si>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</si>
  <si>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</si>
  <si>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</si>
  <si>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</si>
  <si>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</si>
  <si>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</si>
  <si>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</si>
  <si>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</si>
  <si>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</si>
  <si>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</si>
  <si>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</si>
  <si>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</si>
  <si>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</si>
  <si>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</si>
  <si>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</si>
  <si>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</si>
  <si>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</si>
  <si>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</si>
  <si>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</si>
  <si>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</si>
  <si>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</si>
  <si>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</si>
  <si>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</si>
  <si>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</si>
  <si>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</si>
  <si>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</si>
  <si>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</si>
  <si>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</si>
  <si>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</si>
  <si>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</si>
  <si>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</si>
  <si>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</si>
  <si>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</si>
  <si>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</si>
  <si>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</si>
  <si>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</si>
  <si>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</si>
  <si>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</si>
  <si>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</si>
  <si>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</si>
  <si>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</si>
  <si>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</si>
  <si>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</si>
  <si>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</si>
  <si>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</si>
  <si>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</si>
  <si>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</si>
  <si>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</si>
  <si>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</si>
  <si>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</si>
  <si>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</si>
  <si>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</si>
  <si>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</si>
  <si>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</si>
  <si>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</si>
  <si>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</si>
  <si>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</si>
  <si>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</si>
  <si>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</si>
  <si>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</si>
  <si>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</si>
  <si>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</si>
  <si>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</si>
  <si>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</si>
  <si>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</si>
  <si>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</si>
  <si>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</si>
  <si>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</si>
  <si>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</si>
  <si>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</si>
  <si>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</si>
  <si>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</si>
  <si>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</si>
  <si>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</si>
  <si>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</si>
  <si>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</si>
  <si>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</si>
  <si>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</si>
  <si>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</si>
  <si>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</si>
  <si>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</si>
  <si>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</si>
  <si>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</si>
  <si>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</si>
  <si>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</si>
  <si>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</si>
  <si>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</si>
  <si>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</si>
  <si>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</si>
  <si>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</si>
  <si>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</si>
  <si>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</si>
  <si>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</si>
  <si>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</si>
  <si>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</si>
  <si>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</si>
  <si>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</si>
  <si>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</si>
  <si>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</si>
  <si>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</si>
  <si>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</si>
  <si>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</si>
  <si>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</si>
  <si>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</si>
  <si>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</si>
  <si>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</si>
  <si>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</si>
  <si>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</si>
  <si>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</si>
  <si>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</si>
  <si>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</si>
  <si>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</si>
  <si>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</si>
  <si>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</si>
  <si>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</si>
  <si>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</si>
  <si>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</si>
  <si>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</si>
  <si>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</si>
  <si>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</si>
  <si>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</si>
  <si>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</si>
  <si>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</si>
  <si>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</si>
  <si>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</si>
  <si>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</si>
  <si>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</si>
  <si>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</si>
  <si>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</si>
  <si>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</si>
  <si>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</si>
  <si>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</si>
  <si>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</si>
  <si>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</si>
  <si>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</si>
  <si>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</si>
  <si>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</si>
  <si>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</si>
  <si>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</si>
  <si>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</si>
  <si>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</si>
  <si>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</si>
  <si>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</si>
  <si>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</si>
  <si>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</si>
  <si>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</si>
  <si>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</si>
  <si>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</si>
  <si>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</si>
  <si>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</si>
  <si>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</si>
  <si>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</si>
  <si>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</si>
  <si>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</si>
  <si>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</si>
  <si>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</si>
  <si>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</si>
  <si>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</si>
  <si>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</si>
  <si>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</si>
  <si>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</si>
  <si>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</si>
  <si>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</si>
  <si>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</si>
  <si>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</si>
  <si>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</si>
  <si>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</si>
  <si>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</si>
  <si>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</si>
  <si>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</si>
  <si>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</si>
  <si>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</si>
  <si>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</si>
  <si>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</si>
  <si>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</si>
  <si>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</si>
  <si>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</si>
  <si>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</si>
  <si>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</si>
  <si>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</si>
  <si>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</si>
  <si>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</si>
  <si>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</si>
  <si>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</si>
  <si>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</si>
  <si>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</si>
  <si>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</si>
  <si>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</si>
  <si>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</si>
  <si>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</si>
  <si>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</si>
  <si>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</si>
  <si>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</si>
  <si>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</si>
  <si>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</si>
  <si>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</si>
  <si>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</si>
  <si>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</si>
  <si>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</si>
  <si>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</si>
  <si>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</si>
  <si>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</si>
  <si>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</si>
  <si>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</si>
  <si>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</si>
  <si>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</si>
  <si>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</si>
  <si>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</si>
  <si>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</si>
  <si>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</si>
  <si>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</si>
  <si>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</si>
  <si>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</si>
  <si>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</si>
  <si>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</si>
  <si>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</si>
  <si>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</si>
  <si>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</si>
  <si>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</si>
  <si>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</si>
  <si>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</si>
  <si>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</si>
  <si>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</si>
  <si>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</si>
  <si>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</si>
  <si>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</si>
  <si>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</si>
  <si>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</si>
  <si>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</si>
  <si>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</si>
  <si>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</si>
  <si>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</si>
  <si>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</si>
  <si>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</si>
  <si>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</si>
  <si>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</si>
  <si>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</si>
  <si>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</si>
  <si>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</si>
  <si>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</si>
  <si>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</si>
  <si>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</si>
  <si>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</si>
  <si>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</si>
  <si>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</si>
  <si>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</si>
  <si>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</si>
  <si>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</si>
  <si>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</si>
  <si>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</si>
  <si>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</si>
  <si>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</si>
  <si>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</si>
  <si>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</si>
  <si>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</si>
  <si>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</si>
  <si>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</si>
  <si>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</si>
  <si>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</si>
  <si>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</si>
  <si>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</si>
  <si>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</si>
  <si>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</si>
  <si>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</si>
  <si>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</si>
  <si>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</si>
  <si>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</si>
  <si>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</si>
  <si>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</si>
  <si>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</si>
  <si>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</si>
  <si>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</si>
  <si>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</si>
  <si>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</si>
  <si>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</si>
  <si>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</si>
  <si>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</si>
  <si>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</si>
  <si>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</si>
  <si>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</si>
  <si>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</si>
  <si>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</si>
  <si>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</si>
  <si>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</si>
  <si>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</si>
  <si>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</si>
  <si>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</si>
  <si>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</si>
  <si>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</si>
  <si>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</si>
  <si>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</si>
  <si>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</si>
  <si>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</si>
  <si>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</si>
  <si>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</si>
  <si>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</si>
  <si>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</si>
  <si>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</si>
  <si>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</si>
  <si>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</si>
  <si>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</si>
  <si>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</si>
  <si>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</si>
  <si>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</si>
  <si>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</si>
  <si>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</si>
  <si>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</si>
  <si>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</si>
  <si>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</si>
  <si>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</si>
  <si>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</si>
  <si>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</si>
  <si>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</si>
  <si>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</si>
  <si>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</si>
  <si>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</si>
  <si>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</si>
  <si>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</si>
  <si>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</si>
  <si>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</si>
  <si>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</si>
  <si>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</si>
  <si>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</si>
  <si>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</si>
  <si>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</si>
  <si>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</si>
  <si>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</si>
  <si>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</si>
  <si>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</si>
  <si>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</si>
  <si>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</si>
  <si>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</si>
  <si>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</si>
  <si>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</si>
  <si>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</si>
  <si>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</si>
  <si>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</si>
  <si>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</si>
  <si>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</si>
  <si>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</si>
  <si>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</si>
  <si>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</si>
  <si>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</si>
  <si>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</si>
  <si>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</si>
  <si>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</si>
  <si>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</si>
  <si>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</si>
  <si>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</si>
  <si>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</si>
  <si>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</si>
  <si>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</si>
  <si>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</si>
  <si>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</si>
  <si>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</si>
  <si>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</si>
  <si>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</si>
  <si>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</si>
  <si>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</si>
  <si>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</si>
  <si>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</si>
  <si>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</si>
  <si>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</si>
  <si>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</si>
  <si>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</si>
  <si>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</si>
  <si>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</si>
  <si>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</si>
  <si>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</si>
  <si>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</si>
  <si>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</si>
  <si>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</si>
  <si>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</si>
  <si>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</si>
  <si>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</si>
  <si>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</si>
  <si>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</si>
  <si>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</si>
  <si>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</si>
  <si>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</si>
  <si>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</si>
  <si>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</si>
  <si>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</si>
  <si>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</si>
  <si>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</si>
  <si>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</si>
  <si>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</si>
  <si>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</si>
  <si>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</si>
  <si>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</si>
  <si>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</si>
  <si>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</si>
  <si>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</si>
  <si>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</si>
  <si>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</si>
  <si>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</si>
  <si>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</si>
  <si>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</si>
  <si>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</si>
  <si>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</si>
  <si>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</si>
  <si>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</si>
  <si>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</si>
  <si>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</si>
  <si>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</si>
  <si>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</si>
  <si>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</si>
  <si>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</si>
  <si>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</si>
  <si>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</si>
  <si>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</si>
  <si>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</si>
  <si>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</si>
  <si>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</si>
  <si>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</si>
  <si>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</si>
  <si>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</si>
  <si>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</si>
  <si>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</si>
  <si>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</si>
  <si>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</si>
  <si>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</si>
  <si>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</si>
  <si>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</si>
  <si>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</si>
  <si>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</si>
  <si>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</si>
  <si>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</si>
  <si>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</si>
  <si>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</si>
  <si>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</si>
  <si>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</si>
  <si>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</si>
  <si>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</si>
  <si>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</si>
  <si>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</si>
  <si>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</si>
  <si>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</si>
  <si>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</si>
  <si>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</si>
  <si>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</si>
  <si>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</si>
  <si>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</si>
  <si>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</si>
  <si>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</si>
  <si>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</si>
  <si>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</si>
  <si>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</si>
  <si>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</si>
  <si>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</si>
  <si>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</si>
  <si>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</si>
  <si>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</si>
  <si>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</si>
  <si>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</si>
  <si>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</si>
  <si>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</si>
  <si>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</si>
  <si>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</si>
  <si>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</si>
  <si>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</si>
  <si>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</si>
  <si>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</si>
  <si>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</si>
  <si>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</si>
  <si>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</si>
  <si>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</si>
  <si>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</si>
  <si>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</si>
  <si>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</si>
  <si>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</si>
  <si>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</si>
  <si>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</si>
  <si>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</si>
  <si>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</si>
  <si>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</si>
  <si>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</si>
  <si>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</si>
  <si>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</si>
  <si>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</si>
  <si>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</si>
  <si>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</si>
  <si>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</si>
  <si>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</si>
  <si>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</si>
  <si>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</si>
  <si>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</si>
  <si>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</si>
  <si>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</si>
  <si>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</si>
  <si>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</si>
  <si>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</si>
  <si>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</si>
  <si>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</si>
  <si>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</si>
  <si>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</si>
  <si>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</si>
  <si>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</si>
  <si>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</si>
  <si>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</si>
  <si>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</si>
  <si>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</si>
  <si>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</si>
  <si>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</si>
  <si>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</si>
  <si>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</si>
  <si>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</si>
  <si>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</si>
  <si>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</si>
  <si>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</si>
  <si>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</si>
  <si>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</si>
  <si>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</si>
  <si>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</si>
  <si>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</si>
  <si>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</si>
  <si>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</si>
  <si>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</si>
  <si>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</si>
  <si>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</si>
  <si>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</si>
  <si>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</si>
  <si>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</si>
  <si>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</si>
  <si>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</si>
  <si>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</si>
  <si>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</si>
  <si>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</si>
  <si>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</si>
  <si>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</si>
  <si>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</si>
  <si>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</si>
  <si>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</si>
  <si>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</si>
  <si>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</si>
  <si>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</si>
  <si>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</si>
  <si>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</si>
  <si>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</si>
  <si>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</si>
  <si>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</si>
  <si>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</si>
  <si>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</si>
  <si>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</si>
  <si>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</si>
  <si>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</si>
  <si>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</si>
  <si>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</si>
  <si>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</si>
  <si>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</si>
  <si>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</si>
  <si>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</si>
  <si>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</si>
  <si>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</si>
  <si>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</si>
  <si>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</si>
  <si>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</si>
  <si>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</si>
  <si>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</si>
  <si>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</si>
  <si>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</si>
  <si>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</si>
  <si>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</si>
  <si>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</si>
  <si>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</si>
  <si>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</si>
  <si>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</si>
  <si>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</si>
  <si>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</si>
  <si>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</si>
  <si>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</si>
  <si>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</si>
  <si>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</si>
  <si>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</si>
  <si>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</si>
  <si>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</si>
  <si>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</si>
  <si>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</si>
  <si>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</si>
  <si>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</si>
  <si>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</si>
  <si>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</si>
  <si>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</si>
  <si>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</si>
  <si>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</si>
  <si>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</si>
  <si>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</si>
  <si>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</si>
  <si>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</si>
  <si>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</si>
  <si>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</si>
  <si>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</si>
  <si>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</si>
  <si>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</si>
  <si>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</si>
  <si>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</si>
  <si>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</si>
  <si>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</si>
  <si>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</si>
  <si>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</si>
  <si>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</si>
  <si>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</si>
  <si>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</si>
  <si>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</si>
  <si>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</si>
  <si>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</si>
  <si>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</si>
  <si>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</si>
  <si>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</si>
  <si>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</si>
  <si>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</si>
  <si>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</si>
  <si>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</si>
  <si>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</si>
  <si>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</si>
  <si>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</si>
  <si>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</si>
  <si>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</si>
  <si>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</si>
  <si>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</si>
  <si>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</si>
  <si>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</si>
  <si>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</si>
  <si>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</si>
  <si>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</si>
  <si>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</si>
  <si>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</si>
  <si>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</si>
  <si>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</si>
  <si>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</si>
  <si>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</si>
  <si>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</si>
  <si>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</si>
  <si>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</si>
  <si>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</si>
  <si>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</si>
  <si>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</si>
  <si>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</si>
  <si>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</si>
  <si>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</si>
  <si>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</si>
  <si>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</si>
  <si>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</si>
  <si>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</si>
  <si>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</si>
  <si>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</si>
  <si>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</si>
  <si>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</si>
  <si>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</si>
  <si>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</si>
  <si>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</si>
  <si>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</si>
  <si>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</si>
  <si>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</si>
  <si>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</si>
  <si>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</si>
  <si>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</si>
  <si>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</si>
  <si>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</si>
  <si>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</si>
  <si>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</si>
  <si>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</si>
  <si>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</si>
  <si>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</si>
  <si>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</si>
  <si>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</si>
  <si>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</si>
  <si>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</si>
  <si>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</si>
  <si>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</si>
  <si>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</si>
  <si>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</si>
  <si>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</si>
  <si>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</si>
  <si>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</si>
  <si>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</si>
  <si>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</si>
  <si>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</si>
  <si>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</si>
  <si>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</si>
  <si>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</si>
  <si>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</si>
  <si>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</si>
  <si>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</si>
  <si>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</si>
  <si>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</si>
  <si>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</si>
  <si>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</si>
  <si>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</si>
  <si>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</si>
  <si>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</si>
  <si>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</si>
  <si>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</si>
  <si>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</si>
  <si>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</si>
  <si>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</si>
  <si>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</si>
  <si>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</si>
  <si>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</si>
  <si>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</si>
  <si>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</si>
  <si>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</si>
  <si>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</si>
  <si>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</si>
  <si>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</si>
  <si>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</si>
  <si>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</si>
  <si>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</si>
  <si>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</si>
  <si>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</si>
  <si>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</si>
  <si>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</si>
  <si>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</si>
  <si>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</si>
  <si>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</si>
  <si>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</si>
  <si>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</si>
  <si>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</si>
  <si>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</si>
  <si>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</si>
  <si>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</si>
  <si>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</si>
  <si>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</si>
  <si>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</si>
  <si>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</si>
  <si>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</si>
  <si>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</si>
  <si>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</si>
  <si>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</si>
  <si>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</si>
  <si>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</si>
  <si>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</si>
  <si>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</si>
  <si>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</si>
  <si>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</si>
  <si>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</si>
  <si>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</si>
  <si>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</si>
  <si>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</si>
  <si>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</si>
  <si>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</si>
  <si>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</si>
  <si>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</si>
  <si>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</si>
  <si>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</si>
  <si>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</si>
  <si>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</si>
  <si>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</si>
  <si>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</si>
  <si>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</si>
  <si>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</si>
  <si>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</si>
  <si>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</si>
  <si>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</si>
  <si>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</si>
  <si>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</si>
  <si>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</si>
  <si>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</si>
  <si>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</si>
  <si>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</si>
  <si>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</si>
  <si>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</si>
  <si>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</si>
  <si>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</si>
  <si>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</si>
  <si>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</si>
  <si>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</si>
  <si>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</si>
  <si>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</si>
  <si>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</si>
  <si>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</si>
  <si>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</si>
  <si>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</si>
  <si>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</si>
  <si>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</si>
  <si>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</si>
  <si>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</si>
  <si>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</si>
  <si>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</si>
  <si>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</si>
  <si>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</si>
  <si>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</si>
  <si>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</si>
  <si>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</si>
  <si>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</si>
  <si>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</si>
  <si>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</si>
  <si>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</si>
  <si>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</si>
  <si>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</si>
  <si>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</si>
  <si>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</si>
  <si>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</si>
  <si>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</si>
  <si>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</si>
  <si>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</si>
  <si>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</si>
  <si>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</si>
  <si>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</si>
  <si>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</si>
  <si>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</si>
  <si>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</si>
  <si>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</si>
  <si>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</si>
  <si>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</si>
  <si>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</si>
  <si>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</si>
  <si>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</si>
  <si>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</si>
  <si>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</si>
  <si>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</si>
  <si>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</si>
  <si>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</si>
  <si>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</si>
  <si>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</si>
  <si>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</si>
  <si>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</si>
  <si>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</si>
  <si>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</si>
  <si>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</si>
  <si>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</si>
  <si>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</si>
  <si>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</si>
  <si>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</si>
  <si>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</si>
  <si>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</si>
  <si>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</si>
  <si>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</si>
  <si>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</si>
  <si>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</si>
  <si>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</si>
  <si>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</si>
  <si>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</si>
  <si>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</si>
  <si>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</si>
  <si>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</si>
  <si>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</si>
  <si>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</si>
  <si>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</si>
  <si>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</si>
  <si>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</si>
  <si>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</si>
  <si>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</si>
  <si>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</si>
  <si>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</si>
  <si>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</si>
  <si>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</si>
  <si>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</si>
  <si>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</si>
  <si>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</si>
  <si>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</si>
  <si>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</si>
  <si>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</si>
  <si>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</si>
  <si>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</si>
  <si>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</si>
  <si>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</si>
  <si>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</si>
  <si>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</si>
  <si>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</si>
  <si>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</si>
  <si>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</si>
  <si>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</si>
  <si>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</si>
  <si>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</si>
  <si>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</si>
  <si>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</si>
  <si>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</si>
  <si>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</si>
  <si>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</si>
  <si>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</si>
  <si>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</si>
  <si>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</si>
  <si>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</si>
  <si>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</si>
  <si>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</si>
  <si>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</si>
  <si>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</si>
  <si>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</si>
  <si>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</si>
  <si>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</si>
  <si>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</si>
  <si>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</si>
  <si>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</si>
  <si>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</si>
  <si>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</si>
  <si>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</si>
  <si>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</si>
  <si>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</si>
  <si>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</si>
  <si>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</si>
  <si>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</si>
  <si>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</si>
  <si>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</si>
  <si>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</si>
  <si>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</si>
  <si>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</si>
  <si>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</si>
  <si>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</si>
  <si>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</si>
  <si>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</si>
  <si>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</si>
  <si>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</si>
  <si>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</si>
  <si>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</si>
  <si>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</si>
  <si>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</si>
  <si>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</si>
  <si>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</si>
  <si>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</si>
  <si>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</si>
  <si>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</si>
  <si>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</si>
  <si>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</si>
  <si>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</si>
  <si>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</si>
  <si>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</si>
  <si>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</si>
  <si>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</si>
  <si>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</si>
  <si>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</si>
  <si>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</si>
  <si>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</si>
  <si>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</si>
  <si>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</si>
  <si>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</si>
  <si>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</si>
  <si>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</si>
  <si>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</si>
  <si>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</si>
  <si>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</si>
  <si>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</si>
  <si>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</si>
  <si>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</si>
  <si>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</si>
  <si>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</si>
  <si>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</si>
  <si>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</si>
  <si>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</si>
  <si>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</si>
  <si>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</si>
  <si>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</si>
  <si>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</si>
  <si>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</si>
  <si>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</si>
  <si>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</si>
  <si>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</si>
  <si>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</si>
  <si>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</si>
  <si>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</si>
  <si>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</si>
  <si>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</si>
  <si>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</si>
  <si>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</si>
  <si>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</si>
  <si>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</si>
  <si>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</si>
  <si>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</si>
  <si>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</si>
  <si>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</si>
  <si>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</si>
  <si>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</si>
  <si>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</si>
  <si>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</si>
  <si>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</si>
  <si>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</si>
  <si>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</si>
  <si>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</si>
  <si>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</si>
  <si>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</si>
  <si>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</si>
  <si>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</si>
  <si>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</si>
  <si>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</si>
  <si>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</si>
  <si>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</si>
  <si>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</si>
  <si>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</si>
  <si>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</si>
  <si>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</si>
  <si>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</si>
  <si>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</si>
  <si>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</si>
  <si>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</si>
  <si>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</si>
  <si>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</si>
  <si>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</si>
  <si>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</si>
  <si>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</si>
  <si>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</si>
  <si>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</si>
  <si>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</si>
  <si>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</si>
  <si>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</si>
  <si>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</si>
  <si>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</si>
  <si>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</si>
  <si>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</si>
  <si>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</si>
  <si>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</si>
  <si>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</si>
  <si>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</si>
  <si>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</si>
  <si>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</si>
  <si>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</si>
  <si>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</si>
  <si>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</si>
  <si>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</si>
  <si>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</si>
  <si>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</si>
  <si>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</si>
  <si>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</si>
  <si>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</si>
  <si>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</si>
  <si>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</si>
  <si>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</si>
  <si>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</si>
  <si>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</si>
  <si>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</si>
  <si>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</si>
  <si>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</si>
  <si>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</si>
  <si>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</si>
  <si>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</si>
  <si>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</si>
  <si>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</si>
  <si>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</si>
  <si>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</si>
  <si>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</si>
  <si>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</si>
  <si>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</si>
  <si>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</si>
  <si>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</si>
  <si>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</si>
  <si>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</si>
  <si>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</si>
  <si>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</si>
  <si>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</si>
  <si>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</si>
  <si>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</si>
  <si>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</si>
  <si>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</si>
  <si>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</si>
  <si>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</si>
  <si>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</si>
  <si>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</si>
  <si>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</si>
  <si>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</si>
  <si>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</si>
  <si>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</si>
  <si>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</si>
  <si>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</si>
  <si>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</si>
  <si>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</si>
  <si>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</si>
  <si>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</si>
  <si>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</si>
  <si>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</si>
  <si>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</si>
  <si>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</si>
  <si>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</si>
  <si>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</si>
  <si>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</si>
  <si>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</si>
  <si>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</si>
  <si>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</si>
  <si>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</si>
  <si>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</si>
  <si>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</si>
  <si>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</si>
  <si>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</si>
  <si>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</si>
  <si>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</si>
  <si>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</si>
  <si>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</si>
  <si>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</si>
  <si>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</si>
  <si>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</si>
  <si>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</si>
  <si>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</si>
  <si>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</si>
  <si>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</si>
  <si>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</si>
  <si>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</si>
  <si>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</si>
  <si>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</si>
  <si>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</si>
  <si>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</si>
  <si>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</si>
  <si>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</si>
  <si>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</si>
  <si>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</si>
  <si>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</si>
  <si>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</si>
  <si>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</si>
  <si>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</si>
  <si>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</si>
  <si>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</si>
  <si>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</si>
  <si>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</si>
  <si>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</si>
  <si>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</si>
  <si>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</si>
  <si>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</si>
  <si>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</si>
  <si>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</si>
  <si>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</si>
  <si>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</si>
  <si>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</si>
  <si>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</si>
  <si>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</si>
  <si>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</si>
  <si>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</si>
  <si>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</si>
  <si>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</si>
  <si>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</si>
  <si>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</si>
  <si>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</si>
  <si>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</si>
  <si>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</si>
  <si>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</si>
  <si>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</si>
  <si>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</si>
  <si>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</si>
  <si>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</si>
  <si>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</si>
  <si>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</si>
  <si>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</si>
  <si>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</si>
  <si>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</si>
  <si>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</si>
  <si>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</si>
  <si>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</si>
  <si>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</si>
  <si>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</si>
  <si>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</si>
  <si>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</si>
  <si>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</si>
  <si>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</si>
  <si>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</si>
  <si>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</si>
  <si>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</si>
  <si>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</si>
  <si>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</si>
  <si>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</si>
  <si>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</si>
  <si>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</si>
  <si>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</si>
  <si>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</si>
  <si>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</si>
  <si>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</si>
  <si>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</si>
  <si>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</si>
  <si>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</si>
  <si>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</si>
  <si>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</si>
  <si>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</si>
  <si>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</si>
  <si>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</si>
  <si>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</si>
  <si>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</si>
  <si>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</si>
  <si>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</si>
  <si>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</si>
  <si>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</si>
  <si>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</si>
  <si>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</si>
  <si>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</si>
  <si>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</si>
  <si>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</si>
  <si>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</si>
  <si>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</si>
  <si>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</si>
  <si>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</si>
  <si>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</si>
  <si>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</si>
  <si>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</si>
  <si>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</si>
  <si>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</si>
  <si>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</si>
  <si>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</si>
  <si>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</si>
  <si>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</si>
  <si>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</si>
  <si>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</si>
  <si>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</si>
  <si>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</si>
  <si>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</si>
  <si>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</si>
  <si>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</si>
  <si>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</si>
  <si>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</si>
  <si>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</si>
  <si>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</si>
  <si>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</si>
  <si>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</si>
  <si>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</si>
  <si>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</si>
  <si>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</si>
  <si>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</si>
  <si>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</si>
  <si>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</si>
  <si>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</si>
  <si>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</si>
  <si>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</si>
  <si>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</si>
  <si>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</si>
  <si>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</si>
  <si>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</si>
  <si>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</si>
  <si>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</si>
  <si>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</si>
  <si>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</si>
  <si>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</si>
  <si>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</si>
  <si>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</si>
  <si>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</si>
  <si>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</si>
  <si>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</si>
  <si>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</si>
  <si>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</si>
  <si>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</si>
  <si>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</si>
  <si>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</si>
  <si>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</si>
  <si>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</si>
  <si>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</si>
  <si>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</si>
  <si>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</si>
  <si>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</si>
  <si>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</si>
  <si>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</si>
  <si>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</si>
  <si>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</si>
  <si>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</si>
  <si>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</si>
  <si>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</si>
  <si>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</si>
  <si>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</si>
  <si>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</si>
  <si>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</si>
  <si>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</si>
  <si>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</si>
  <si>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</si>
  <si>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</si>
  <si>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</si>
  <si>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</si>
  <si>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</si>
  <si>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</si>
  <si>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</si>
  <si>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</si>
  <si>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</si>
  <si>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</si>
  <si>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</si>
  <si>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</si>
  <si>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</si>
  <si>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</si>
  <si>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</si>
  <si>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</si>
  <si>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</si>
  <si>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</si>
  <si>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</si>
  <si>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</si>
  <si>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</si>
  <si>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</si>
  <si>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</si>
  <si>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</si>
  <si>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</si>
  <si>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</si>
  <si>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</si>
  <si>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</si>
  <si>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</si>
  <si>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</si>
  <si>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</si>
  <si>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</si>
  <si>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</si>
  <si>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</si>
  <si>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</si>
  <si>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</si>
  <si>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</si>
  <si>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</si>
  <si>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</si>
  <si>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</si>
  <si>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</si>
  <si>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</si>
  <si>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</si>
  <si>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</si>
  <si>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</si>
  <si>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</si>
  <si>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</si>
  <si>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</si>
  <si>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</si>
  <si>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</si>
  <si>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</si>
  <si>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</si>
  <si>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</si>
  <si>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</si>
  <si>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</si>
  <si>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</si>
  <si>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</si>
  <si>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</si>
  <si>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</si>
  <si>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</si>
  <si>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</si>
  <si>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</si>
  <si>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</si>
  <si>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</si>
  <si>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</si>
  <si>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</si>
  <si>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</si>
  <si>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</si>
  <si>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</si>
  <si>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</si>
  <si>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</si>
  <si>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</si>
  <si>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</si>
  <si>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</si>
  <si>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</si>
  <si>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</si>
  <si>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</si>
  <si>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</si>
  <si>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</si>
  <si>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</si>
  <si>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</si>
  <si>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</si>
  <si>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</si>
  <si>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</si>
  <si>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</si>
  <si>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</si>
  <si>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</si>
  <si>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</si>
  <si>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</si>
  <si>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</si>
  <si>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</si>
  <si>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</si>
  <si>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</si>
  <si>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</si>
  <si>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</si>
  <si>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</si>
  <si>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</si>
  <si>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</si>
  <si>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</si>
  <si>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</si>
  <si>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</si>
  <si>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</si>
  <si>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</si>
  <si>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</si>
  <si>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</si>
  <si>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</si>
  <si>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</si>
  <si>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</si>
  <si>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</si>
  <si>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</si>
  <si>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</si>
  <si>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</si>
  <si>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</si>
  <si>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</si>
  <si>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</si>
  <si>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</si>
  <si>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</si>
  <si>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</si>
  <si>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</si>
  <si>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</si>
  <si>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</si>
  <si>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</si>
  <si>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</si>
  <si>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</si>
  <si>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</si>
  <si>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</si>
  <si>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</si>
  <si>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</si>
  <si>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</si>
  <si>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</si>
  <si>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</si>
  <si>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</si>
  <si>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</si>
  <si>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</si>
  <si>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</si>
  <si>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</si>
  <si>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</si>
  <si>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</si>
  <si>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</si>
  <si>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</si>
  <si>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</si>
  <si>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</si>
  <si>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</si>
  <si>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</si>
  <si>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</si>
  <si>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</si>
  <si>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</si>
  <si>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</si>
  <si>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</si>
  <si>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</si>
  <si>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</si>
  <si>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</si>
  <si>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</si>
  <si>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</si>
  <si>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</si>
  <si>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</si>
  <si>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</si>
  <si>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</si>
  <si>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</si>
  <si>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</si>
  <si>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</si>
  <si>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</si>
  <si>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</si>
  <si>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</si>
  <si>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</si>
  <si>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</si>
  <si>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</si>
  <si>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</si>
  <si>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</si>
  <si>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</si>
  <si>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</si>
  <si>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</si>
  <si>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</si>
  <si>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</si>
  <si>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</si>
  <si>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</si>
  <si>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</si>
  <si>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</si>
  <si>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</si>
  <si>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</si>
  <si>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</si>
  <si>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</si>
  <si>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</si>
  <si>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</si>
  <si>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</si>
  <si>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</si>
  <si>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</si>
  <si>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</si>
  <si>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</si>
  <si>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</si>
  <si>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</si>
  <si>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</si>
  <si>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</si>
  <si>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</si>
  <si>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</si>
  <si>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</si>
  <si>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</si>
  <si>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</si>
  <si>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</si>
  <si>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</si>
  <si>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</si>
  <si>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</si>
  <si>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</si>
  <si>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</si>
  <si>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</si>
  <si>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</si>
  <si>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</si>
  <si>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</si>
  <si>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</si>
  <si>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</si>
  <si>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</si>
  <si>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</si>
  <si>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</si>
  <si>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</si>
  <si>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</si>
  <si>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</si>
  <si>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</si>
  <si>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</si>
  <si>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</si>
  <si>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</si>
  <si>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</si>
  <si>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</si>
  <si>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</si>
  <si>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</si>
  <si>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</si>
  <si>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</si>
  <si>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</si>
  <si>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</si>
  <si>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</si>
  <si>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</si>
  <si>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</si>
  <si>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</si>
  <si>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</si>
  <si>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</si>
  <si>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</si>
  <si>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</si>
  <si>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</si>
  <si>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</si>
  <si>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</si>
  <si>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</si>
  <si>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</si>
  <si>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</si>
  <si>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</si>
  <si>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</si>
  <si>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</si>
  <si>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</si>
  <si>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</si>
  <si>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</si>
  <si>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</si>
  <si>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</si>
  <si>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</si>
  <si>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</si>
  <si>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</si>
  <si>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</si>
  <si>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</si>
  <si>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</si>
  <si>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</si>
  <si>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</si>
  <si>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</si>
  <si>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</si>
  <si>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</si>
  <si>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</si>
  <si>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</si>
  <si>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</si>
  <si>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</si>
  <si>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</si>
  <si>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</si>
  <si>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</si>
  <si>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</si>
  <si>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</si>
  <si>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</si>
  <si>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</si>
  <si>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</si>
  <si>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</si>
  <si>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</si>
  <si>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</si>
  <si>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</si>
  <si>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</si>
  <si>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</si>
  <si>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</si>
  <si>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</si>
  <si>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</si>
  <si>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</si>
  <si>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</si>
  <si>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</si>
  <si>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</si>
  <si>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</si>
  <si>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</si>
  <si>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</si>
  <si>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</si>
  <si>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</si>
  <si>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</si>
  <si>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</si>
  <si>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</si>
  <si>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</si>
  <si>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</si>
  <si>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</si>
  <si>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</si>
  <si>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</si>
  <si>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</si>
  <si>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</si>
  <si>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</si>
  <si>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</si>
  <si>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</si>
  <si>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</si>
  <si>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</si>
  <si>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</si>
  <si>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</si>
  <si>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</si>
  <si>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</si>
  <si>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</si>
  <si>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</si>
  <si>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</si>
  <si>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</si>
  <si>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</si>
  <si>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</si>
  <si>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</si>
  <si>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</si>
  <si>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</si>
  <si>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</si>
  <si>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</si>
  <si>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</si>
  <si>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</si>
  <si>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</si>
  <si>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</si>
  <si>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</si>
  <si>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</si>
  <si>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</si>
  <si>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</si>
  <si>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</si>
  <si>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</si>
  <si>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</si>
  <si>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</si>
  <si>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</si>
  <si>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</si>
  <si>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</si>
  <si>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</si>
  <si>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</si>
  <si>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</si>
  <si>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</si>
  <si>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</si>
  <si>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</si>
  <si>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</si>
  <si>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</si>
  <si>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</si>
  <si>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</si>
  <si>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</si>
  <si>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</si>
  <si>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</si>
  <si>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</si>
  <si>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</si>
  <si>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</si>
  <si>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</si>
  <si>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</si>
  <si>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</si>
  <si>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</si>
  <si>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</si>
  <si>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</si>
  <si>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</si>
  <si>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</si>
  <si>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</si>
  <si>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</si>
  <si>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</si>
  <si>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</si>
  <si>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</si>
  <si>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</si>
  <si>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</si>
  <si>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</si>
  <si>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</si>
  <si>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</si>
  <si>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</si>
  <si>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</si>
  <si>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</si>
  <si>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</si>
  <si>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</si>
  <si>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</si>
  <si>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</si>
  <si>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</si>
  <si>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</si>
  <si>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</si>
  <si>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</si>
  <si>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</si>
  <si>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</si>
  <si>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</si>
  <si>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</si>
  <si>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</si>
  <si>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</si>
  <si>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</si>
  <si>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</si>
  <si>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</si>
  <si>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</si>
  <si>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</si>
  <si>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</si>
  <si>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</si>
  <si>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</si>
  <si>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</si>
  <si>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</si>
  <si>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</si>
  <si>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</si>
  <si>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</si>
  <si>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</si>
  <si>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</si>
  <si>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</si>
  <si>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</si>
  <si>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</si>
  <si>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</si>
  <si>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</si>
  <si>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</si>
  <si>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</si>
  <si>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</si>
  <si>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</si>
  <si>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</si>
  <si>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</si>
  <si>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</si>
  <si>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</si>
  <si>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</si>
  <si>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</si>
  <si>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</si>
  <si>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</si>
  <si>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</si>
  <si>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</si>
  <si>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</si>
  <si>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</si>
  <si>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</si>
  <si>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</si>
  <si>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</si>
  <si>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</si>
  <si>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</si>
  <si>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</si>
  <si>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</si>
  <si>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</si>
  <si>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</si>
  <si>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</si>
  <si>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</si>
  <si>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</si>
  <si>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</si>
  <si>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</si>
  <si>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</si>
  <si>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</si>
  <si>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</si>
  <si>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</si>
  <si>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</si>
  <si>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</si>
  <si>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</si>
  <si>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</si>
  <si>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</si>
  <si>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</si>
  <si>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</si>
  <si>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</si>
  <si>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</si>
  <si>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</si>
  <si>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</si>
  <si>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</si>
  <si>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</si>
  <si>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</si>
  <si>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</si>
  <si>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</si>
  <si>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</si>
  <si>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</si>
  <si>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</si>
  <si>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</si>
  <si>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</si>
  <si>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</si>
  <si>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</si>
  <si>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</si>
  <si>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</si>
  <si>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</si>
  <si>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</si>
  <si>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</si>
  <si>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</si>
  <si>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</si>
  <si>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</si>
  <si>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</si>
  <si>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</si>
  <si>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</si>
  <si>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</si>
  <si>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</si>
  <si>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</si>
  <si>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</si>
  <si>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</si>
  <si>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</si>
  <si>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</si>
  <si>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</si>
  <si>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</si>
  <si>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</si>
  <si>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</si>
  <si>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</si>
  <si>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</si>
  <si>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</si>
  <si>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</si>
  <si>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</si>
  <si>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</si>
  <si>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</si>
  <si>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</si>
  <si>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</si>
  <si>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</si>
  <si>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</si>
  <si>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</si>
  <si>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</si>
  <si>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</si>
  <si>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</si>
  <si>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</si>
  <si>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</si>
  <si>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</si>
  <si>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</si>
  <si>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</si>
  <si>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</si>
  <si>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</si>
  <si>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</si>
  <si>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</si>
  <si>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</si>
  <si>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</si>
  <si>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</si>
  <si>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</si>
  <si>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</si>
  <si>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</si>
  <si>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</si>
  <si>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</si>
  <si>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</si>
  <si>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</si>
  <si>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</si>
  <si>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</si>
  <si>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</si>
  <si>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</si>
  <si>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</si>
  <si>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</si>
  <si>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</si>
  <si>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</si>
  <si>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</si>
  <si>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</si>
  <si>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</si>
  <si>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</si>
  <si>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</si>
  <si>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</si>
  <si>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</si>
  <si>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</si>
  <si>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</si>
  <si>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</si>
  <si>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</si>
  <si>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</si>
  <si>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</si>
  <si>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</si>
  <si>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</si>
  <si>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</si>
  <si>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</si>
  <si>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</si>
  <si>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</si>
  <si>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</si>
  <si>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</si>
  <si>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</si>
  <si>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</si>
  <si>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</si>
  <si>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</si>
  <si>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</si>
  <si>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</si>
  <si>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</si>
  <si>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</si>
  <si>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</si>
  <si>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</si>
  <si>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</si>
  <si>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</si>
  <si>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</si>
  <si>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</si>
  <si>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</si>
  <si>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</si>
  <si>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</si>
  <si>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</si>
  <si>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</si>
  <si>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</si>
  <si>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</si>
  <si>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</si>
  <si>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</si>
  <si>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</si>
  <si>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</si>
  <si>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</si>
  <si>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</si>
  <si>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</si>
  <si>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</si>
  <si>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</si>
  <si>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</si>
  <si>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</si>
  <si>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</si>
  <si>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</si>
  <si>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</si>
  <si>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</si>
  <si>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</si>
  <si>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</si>
  <si>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</si>
  <si>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</si>
  <si>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</si>
  <si>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</si>
  <si>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</si>
  <si>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</si>
  <si>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</si>
  <si>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</si>
  <si>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</si>
  <si>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</si>
  <si>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</si>
  <si>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</si>
  <si>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</si>
  <si>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</si>
  <si>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</si>
  <si>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</si>
  <si>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</si>
  <si>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</si>
  <si>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</si>
  <si>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</si>
  <si>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</si>
  <si>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</si>
  <si>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</si>
  <si>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</si>
  <si>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</si>
  <si>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</si>
  <si>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</si>
  <si>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</si>
  <si>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</si>
  <si>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</si>
  <si>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</si>
  <si>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</si>
  <si>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</si>
  <si>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</si>
  <si>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</si>
  <si>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</si>
  <si>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</si>
  <si>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</si>
  <si>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</si>
  <si>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</si>
  <si>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</si>
  <si>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</si>
  <si>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</si>
  <si>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</si>
  <si>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</si>
  <si>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</si>
  <si>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</si>
  <si>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</si>
  <si>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</si>
  <si>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</si>
  <si>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</si>
  <si>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</si>
  <si>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</si>
  <si>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</si>
  <si>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</si>
  <si>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</si>
  <si>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</si>
  <si>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</si>
  <si>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</si>
  <si>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</si>
  <si>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</si>
  <si>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</si>
  <si>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</si>
  <si>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</si>
  <si>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</si>
  <si>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</si>
  <si>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</si>
  <si>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</si>
  <si>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</si>
  <si>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</si>
  <si>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</si>
  <si>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</si>
  <si>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</si>
  <si>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</si>
  <si>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</si>
  <si>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</si>
  <si>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</si>
  <si>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</si>
  <si>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</si>
  <si>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</si>
  <si>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</si>
  <si>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</si>
  <si>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</si>
  <si>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</si>
  <si>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</si>
  <si>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</si>
  <si>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</si>
  <si>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</si>
  <si>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</si>
  <si>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</si>
  <si>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</si>
  <si>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</si>
  <si>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</si>
  <si>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</si>
  <si>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</si>
  <si>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</si>
  <si>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</si>
  <si>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</si>
  <si>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</si>
  <si>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</si>
  <si>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</si>
  <si>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</si>
  <si>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</si>
  <si>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</si>
  <si>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</si>
  <si>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</si>
  <si>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</si>
  <si>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</si>
  <si>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</si>
  <si>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</si>
  <si>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</si>
  <si>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</si>
  <si>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</si>
  <si>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</si>
  <si>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</si>
  <si>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</si>
  <si>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</si>
  <si>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</si>
  <si>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</si>
  <si>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</si>
  <si>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</si>
  <si>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</si>
  <si>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</si>
  <si>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</si>
  <si>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</si>
  <si>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</si>
  <si>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</si>
  <si>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</si>
  <si>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</si>
  <si>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</si>
  <si>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</si>
  <si>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</si>
  <si>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</si>
  <si>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</si>
  <si>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</si>
  <si>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</si>
  <si>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</si>
  <si>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</si>
  <si>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</si>
  <si>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</si>
  <si>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</si>
  <si>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</si>
  <si>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</si>
  <si>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</si>
  <si>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Count of TX ID</t>
  </si>
  <si>
    <t>Sum of Quantity</t>
  </si>
  <si>
    <t>Sum of Amount</t>
  </si>
  <si>
    <t>Average of Rating C</t>
  </si>
  <si>
    <t>Average of Days to Deliver</t>
  </si>
  <si>
    <t>For Display</t>
  </si>
  <si>
    <t>Avg.Ratings</t>
  </si>
  <si>
    <t>Avg.Days</t>
  </si>
  <si>
    <t>Row Labels</t>
  </si>
  <si>
    <t>Grand Total</t>
  </si>
  <si>
    <t>Column Labels</t>
  </si>
  <si>
    <t>For Matrix</t>
  </si>
  <si>
    <t>Female</t>
  </si>
  <si>
    <t>Male</t>
  </si>
  <si>
    <t>Other</t>
  </si>
  <si>
    <t>Unknown</t>
  </si>
  <si>
    <t>6 - 10</t>
  </si>
  <si>
    <t>More than 10</t>
  </si>
  <si>
    <t>For chart(Quantity)</t>
  </si>
  <si>
    <t>For Chart(Amount)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</si>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</sst>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0.0%"/>
  </numFmts>
  <fonts count="1" x14ac:knownFonts="1">
    <font>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5">
    <border>
      <left/>
      <right/>
      <top/>
      <bottom/>
      <diagonal/>
    </border>
    <border>
      <left style="thick">
        <color rgb="FFF8FAFC"/>
      </left>
      <right style="thick">
        <color rgb="FFF8FAFC"/>
      </right>
      <top style="thick">
        <color rgb="FFF8FAFC"/>
      </top>
      <bottom style="thick">
        <color rgb="FFF8FAFC"/>
      </bottom>
      <diagonal/>
    </border>
    <border>
      <left style="thin">
        <color rgb="FFF8FAFC"/>
      </left>
      <right/>
      <top style="thin">
        <color rgb="FFF8FAFC"/>
      </top>
      <bottom/>
      <diagonal/>
    </border>
    <border>
      <left/>
      <right/>
      <top style="thin">
        <color rgb="FFF8FAFC"/>
      </top>
      <bottom/>
      <diagonal/>
    </border>
    <border>
      <left/>
      <right style="thin">
        <color rgb="FFF8FAFC"/>
      </right>
      <top style="thin">
        <color rgb="FFF8FAFC"/>
      </top>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2" xfId="0" applyBorder="1"/>
    <xf numFmtId="0" fontId="0" fillId="0" borderId="3" xfId="0" applyBorder="1"/>
    <xf numFmtId="0" fontId="0" fillId="0" borderId="4" xfId="0" applyBorder="1"/>
    <xf numFmtId="0" fontId="0" fillId="0" borderId="1" xfId="0" applyBorder="1"/>
    <xf numFmtId="165" fontId="0" fillId="0" borderId="1" xfId="0" applyNumberFormat="1" applyBorder="1"/>
  </cellXfs>
  <cellStyles count="1">
    <cellStyle name="Normal" xfId="0" builtinId="0"/>
  </cellStyles>
  <dxfs count="7">
    <dxf>
      <numFmt numFmtId="0" formatCode="General"/>
    </dxf>
    <dxf>
      <numFmt numFmtId="0" formatCode="General"/>
    </dxf>
    <dxf>
      <numFmt numFmtId="0" formatCode="General"/>
    </dxf>
    <dxf>
      <numFmt numFmtId="166" formatCode="d\-mmm\-yy"/>
    </dxf>
    <dxf>
      <numFmt numFmtId="166" formatCode="d\-mmm\-yy"/>
    </dxf>
    <dxf>
      <font>
        <b/>
        <i val="0"/>
        <color rgb="FF334155"/>
      </font>
      <fill>
        <patternFill>
          <fgColor rgb="FFF8FAFC"/>
        </patternFill>
      </fill>
    </dxf>
    <dxf>
      <fill>
        <patternFill>
          <fgColor rgb="FFF8FAFC"/>
        </patternFill>
      </fill>
    </dxf>
  </dxfs>
  <tableStyles count="2" defaultTableStyle="TableStyleMedium2" defaultPivotStyle="PivotStyleLight16">
    <tableStyle name="Slicer Style 1" pivot="0" table="0" count="1" xr9:uid="{F976A49C-44B7-49FD-9227-F7367A9FC9C6}">
      <tableStyleElement type="wholeTable" dxfId="6"/>
    </tableStyle>
    <tableStyle name="Slicer Style 2" pivot="0" table="0" count="5" xr9:uid="{96A00F4E-2993-49A6-ABD3-BAE6C42A8848}">
      <tableStyleElement type="headerRow" dxfId="5"/>
    </tableStyle>
  </tableStyles>
  <colors>
    <mruColors>
      <color rgb="FF475569"/>
      <color rgb="FF334155"/>
      <color rgb="FF64748B"/>
      <color rgb="FFF59E0B"/>
      <color rgb="FF1E3A8A"/>
      <color rgb="FF2563EB"/>
      <color rgb="FFDBEAFE"/>
      <color rgb="FFF8FAFC"/>
      <color rgb="FF93C5FD"/>
      <color rgb="FFE2E8F0"/>
    </mruColors>
  </colors>
  <extLst>
    <ext xmlns:x14="http://schemas.microsoft.com/office/spreadsheetml/2009/9/main" uri="{46F421CA-312F-682f-3DD2-61675219B42D}">
      <x14:dxfs count="4">
        <dxf>
          <font>
            <color theme="0"/>
          </font>
          <fill>
            <patternFill>
              <fgColor rgb="FF2563EB"/>
            </patternFill>
          </fill>
        </dxf>
        <dxf>
          <font>
            <color theme="0"/>
          </font>
          <fill>
            <patternFill>
              <fgColor rgb="FF2563EB"/>
            </patternFill>
          </fill>
        </dxf>
        <dxf>
          <fill>
            <patternFill>
              <fgColor rgb="FFDBEAFE"/>
            </patternFill>
          </fill>
        </dxf>
        <dxf>
          <font>
            <color rgb="FF1E3A8A"/>
          </font>
          <fill>
            <patternFill>
              <fgColor rgb="FFDBEAFE"/>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[ecommerce-sales-and-customer-analysis-dashboard.xlsx]pivot_backend!pivotTrend</c:name>
    <c:fmtId val="9"/>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IN" sz="1400" b="1">
                <a:solidFill>
                  <a:srgbClr val="334155"/>
                </a:solidFill>
              </a:rPr>
              <a:t>Last</a:t>
            </a:r>
            <a:r>
              <a:rPr lang="en-IN" sz="1400" b="1" baseline="0">
                <a:solidFill>
                  <a:srgbClr val="334155"/>
                </a:solidFill>
              </a:rPr>
              <a:t> 13 weeks Trend - Qty &amp; Amount</a:t>
            </a:r>
            <a:endParaRPr lang="en-IN" sz="1400" b="1">
              <a:solidFill>
                <a:srgbClr val="33415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pivot_backend!$B$10</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pivot_backend!$A$11:$A$24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pivot_backend!$B$11:$B$24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2E0-47BE-9762-F87FCE52DE44}"/>
            </c:ext>
          </c:extLst>
        </c:ser>
        <c:dLbls>
          <c:showLegendKey val="0"/>
          <c:showVal val="0"/>
          <c:showCatName val="0"/>
          <c:showSerName val="0"/>
          <c:showPercent val="0"/>
          <c:showBubbleSize val="0"/>
        </c:dLbls>
        <c:marker val="1"/>
        <c:smooth val="0"/>
        <c:axId val="1515110160"/>
        <c:axId val="1515110640"/>
      </c:lineChart>
      <c:lineChart>
        <c:grouping val="standard"/>
        <c:varyColors val="0"/>
        <c:ser>
          <c:idx val="1"/>
          <c:order val="1"/>
          <c:tx>
            <c:strRef>
              <c:f>pivot_backend!$C$10</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pivot_backend!$A$11:$A$24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pivot_backend!$C$11:$C$24</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2E0-47BE-9762-F87FCE52DE44}"/>
            </c:ext>
          </c:extLst>
        </c:ser>
        <c:dLbls>
          <c:showLegendKey val="0"/>
          <c:showVal val="0"/>
          <c:showCatName val="0"/>
          <c:showSerName val="0"/>
          <c:showPercent val="0"/>
          <c:showBubbleSize val="0"/>
        </c:dLbls>
        <c:marker val="1"/>
        <c:smooth val="0"/>
        <c:axId val="1406548032"/>
        <c:axId val="1406560032"/>
      </c:lineChart>
      <c:catAx>
        <c:axId val="15151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15110640"/>
        <c:crosses val="autoZero"/>
        <c:auto val="1"/>
        <c:lblAlgn val="ctr"/>
        <c:lblOffset val="100"/>
        <c:noMultiLvlLbl val="0"/>
      </c:catAx>
      <c:valAx>
        <c:axId val="15151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1515110160"/>
        <c:crosses val="autoZero"/>
        <c:crossBetween val="between"/>
      </c:valAx>
      <c:valAx>
        <c:axId val="1406560032"/>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1406548032"/>
        <c:crosses val="max"/>
        <c:crossBetween val="between"/>
      </c:valAx>
      <c:catAx>
        <c:axId val="1406548032"/>
        <c:scaling>
          <c:orientation val="minMax"/>
        </c:scaling>
        <c:delete val="1"/>
        <c:axPos val="b"/>
        <c:numFmt formatCode="General" sourceLinked="1"/>
        <c:majorTickMark val="out"/>
        <c:minorTickMark val="none"/>
        <c:tickLblPos val="nextTo"/>
        <c:crossAx val="1406560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[ecommerce-sales-and-customer-analysis-dashboard.xlsx]pivot_backend!pivotQuantity</c:name>
    <c:fmtId val="29"/>
  </c:pivotSource>
  <c:chart>
    <c:title>
      <c:tx>
        <c:rich>
          <a:bodyPr rot="0" spcFirstLastPara="1" vertOverflow="ellipsis" vert="horz" wrap="square" anchor="ctr" anchorCtr="1"/>
          <a:lstStyle/>
          <a:p>
            <a:pPr>
              <a:defRPr sz="1400" b="1" i="0" u="none" strike="noStrike" kern="1200" spc="0" baseline="0">
                <a:solidFill>
                  <a:srgbClr val="334155"/>
                </a:solidFill>
                <a:latin typeface="+mn-lt"/>
                <a:ea typeface="+mn-ea"/>
                <a:cs typeface="+mn-cs"/>
              </a:defRPr>
            </a:pPr>
            <a:r>
              <a:rPr lang="en-US" b="1">
                <a:solidFill>
                  <a:srgbClr val="334155"/>
                </a:solidFill>
                <a:latin typeface="+mj-lt"/>
              </a:rPr>
              <a:t>Quantity</a:t>
            </a:r>
            <a:r>
              <a:rPr lang="en-US" b="1" baseline="0">
                <a:solidFill>
                  <a:srgbClr val="334155"/>
                </a:solidFill>
                <a:latin typeface="+mj-lt"/>
              </a:rPr>
              <a:t> Brought By Customers</a:t>
            </a:r>
            <a:endParaRPr lang="en-US"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3415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pivot_backend!$B$34</c:f>
              <c:strCache>
                <c:ptCount val="1"/>
                <c:pt idx="0">
                  <c:v>Total</c:v>
                </c:pt>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33415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pivot_backend!$A$35:$A$42</c:f>
              <c:strCache>
                <c:ptCount val="7"/>
                <c:pt idx="0">
                  <c:v>1</c:v>
                </c:pt>
                <c:pt idx="1">
                  <c:v>2</c:v>
                </c:pt>
                <c:pt idx="2">
                  <c:v>3</c:v>
                </c:pt>
                <c:pt idx="3">
                  <c:v>4</c:v>
                </c:pt>
                <c:pt idx="4">
                  <c:v>5</c:v>
                </c:pt>
                <c:pt idx="5">
                  <c:v>6 - 10</c:v>
                </c:pt>
                <c:pt idx="6">
                  <c:v>More than 10</c:v>
                </c:pt>
              </c:strCache>
            </c:strRef>
          </c:cat>
          <c:val>
            <c:numRef>
              <c:f>pivot_backend!$B$35:$B$42</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BAA-49D0-9F78-2E997B2F1778}"/>
            </c:ext>
          </c:extLst>
        </c:ser>
        <c:dLbls>
          <c:dLblPos val="outEnd"/>
          <c:showLegendKey val="0"/>
          <c:showVal val="1"/>
          <c:showCatName val="0"/>
          <c:showSerName val="0"/>
          <c:showPercent val="0"/>
          <c:showBubbleSize val="0"/>
        </c:dLbls>
        <c:gapWidth val="5"/>
        <c:overlap val="-27"/>
        <c:axId val="258049535"/>
        <c:axId val="258051455"/>
      </c:barChart>
      <c:catAx>
        <c:axId val="258049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258051455"/>
        <c:crosses val="autoZero"/>
        <c:auto val="1"/>
        <c:lblAlgn val="ctr"/>
        <c:lblOffset val="100"/>
        <c:noMultiLvlLbl val="0"/>
      </c:catAx>
      <c:valAx>
        <c:axId val="258051455"/>
        <c:scaling>
          <c:orientation val="minMax"/>
        </c:scaling>
        <c:delete val="1"/>
        <c:axPos val="l"/>
        <c:numFmt formatCode="General" sourceLinked="1"/>
        <c:majorTickMark val="none"/>
        <c:minorTickMark val="none"/>
        <c:tickLblPos val="nextTo"/>
        <c:crossAx val="25804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[ecommerce-sales-and-customer-analysis-dashboard.xlsx]pivot_backend!pivotDuration</c:name>
    <c:fmtId val="6"/>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US" b="1">
                <a:solidFill>
                  <a:srgbClr val="334155"/>
                </a:solidFill>
                <a:latin typeface="+mj-lt"/>
              </a:rPr>
              <a:t>How</a:t>
            </a:r>
            <a:r>
              <a:rPr lang="en-US" b="1" baseline="0">
                <a:solidFill>
                  <a:srgbClr val="334155"/>
                </a:solidFill>
                <a:latin typeface="+mj-lt"/>
              </a:rPr>
              <a:t> long we take to ship?</a:t>
            </a:r>
            <a:endParaRPr lang="en-US"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pivot_backend!$B$145</c:f>
              <c:strCache>
                <c:ptCount val="1"/>
                <c:pt idx="0">
                  <c:v>Total</c:v>
                </c:pt>
              </c:strCache>
            </c:strRef>
          </c:tx>
          <c:spPr>
            <a:solidFill>
              <a:srgbClr val="2563EB"/>
            </a:solidFill>
            <a:ln>
              <a:noFill/>
            </a:ln>
            <a:effectLst/>
          </c:spPr>
          <c:invertIfNegative val="0"/>
          <c:cat>
            <c:strRef>
              <c:f>pivot_backend!$A$146:$A$161</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pivot_backend!$B$146:$B$161</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4B54-445F-BD92-181D3BE71EEF}"/>
            </c:ext>
          </c:extLst>
        </c:ser>
        <c:dLbls>
          <c:showLegendKey val="0"/>
          <c:showVal val="0"/>
          <c:showCatName val="0"/>
          <c:showSerName val="0"/>
          <c:showPercent val="0"/>
          <c:showBubbleSize val="0"/>
        </c:dLbls>
        <c:gapWidth val="10"/>
        <c:overlap val="-27"/>
        <c:axId val="543775007"/>
        <c:axId val="243875839"/>
      </c:barChart>
      <c:catAx>
        <c:axId val="5437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4748B"/>
                </a:solidFill>
                <a:latin typeface="+mn-lt"/>
                <a:ea typeface="+mn-ea"/>
                <a:cs typeface="+mn-cs"/>
              </a:defRPr>
            </a:pPr>
            <a:endParaRPr lang="en-US"/>
          </a:p>
        </c:txPr>
        <c:crossAx val="243875839"/>
        <c:crosses val="autoZero"/>
        <c:auto val="1"/>
        <c:lblAlgn val="ctr"/>
        <c:lblOffset val="100"/>
        <c:noMultiLvlLbl val="0"/>
      </c:catAx>
      <c:valAx>
        <c:axId val="24387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54377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[ecommerce-sales-and-customer-analysis-dashboard.xlsx]pivot_backend!pivotSatisfaction</c:name>
    <c:fmtId val="12"/>
  </c:pivotSource>
  <c:chart>
    <c:title>
      <c:tx>
        <c:rich>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r>
              <a:rPr lang="en-IN" sz="1400" b="1">
                <a:solidFill>
                  <a:srgbClr val="334155"/>
                </a:solidFill>
                <a:latin typeface="+mj-lt"/>
              </a:rPr>
              <a:t>Ho</a:t>
            </a:r>
            <a:r>
              <a:rPr lang="en-IN" sz="1400" b="1" baseline="0">
                <a:solidFill>
                  <a:srgbClr val="334155"/>
                </a:solidFill>
                <a:latin typeface="+mj-lt"/>
              </a:rPr>
              <a:t>w satisfied our customers are?</a:t>
            </a:r>
            <a:endParaRPr lang="en-IN" sz="1400" b="1">
              <a:solidFill>
                <a:srgbClr val="334155"/>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34155"/>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BEA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3C5F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60A5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563E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1E3A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pivot_backend!$H$145:$H$146</c:f>
              <c:strCache>
                <c:ptCount val="1"/>
                <c:pt idx="0">
                  <c:v>1</c:v>
                </c:pt>
              </c:strCache>
            </c:strRef>
          </c:tx>
          <c:spPr>
            <a:solidFill>
              <a:srgbClr val="DBEAFE"/>
            </a:solidFill>
            <a:ln>
              <a:noFill/>
            </a:ln>
            <a:effectLst/>
          </c:spPr>
          <c:invertIfNegative val="0"/>
          <c:cat>
            <c:strRef>
              <c:f>pivot_backend!$G$147:$G$150</c:f>
              <c:strCache>
                <c:ptCount val="3"/>
                <c:pt idx="0">
                  <c:v>Jan</c:v>
                </c:pt>
                <c:pt idx="1">
                  <c:v>Feb</c:v>
                </c:pt>
                <c:pt idx="2">
                  <c:v>Mar</c:v>
                </c:pt>
              </c:strCache>
            </c:strRef>
          </c:cat>
          <c:val>
            <c:numRef>
              <c:f>pivot_backend!$H$147:$H$150</c:f>
              <c:numCache>
                <c:formatCode>General</c:formatCode>
                <c:ptCount val="3"/>
                <c:pt idx="0">
                  <c:v>7</c:v>
                </c:pt>
                <c:pt idx="1">
                  <c:v>8</c:v>
                </c:pt>
                <c:pt idx="2">
                  <c:v>6</c:v>
                </c:pt>
              </c:numCache>
            </c:numRef>
          </c:val>
          <c:extLst>
            <c:ext xmlns:c16="http://schemas.microsoft.com/office/drawing/2014/chart" uri="{C3380CC4-5D6E-409C-BE32-E72D297353CC}">
              <c16:uniqueId val="{00000000-4FAC-4030-8A67-7CB7472124E2}"/>
            </c:ext>
          </c:extLst>
        </c:ser>
        <c:ser>
          <c:idx val="1"/>
          <c:order val="1"/>
          <c:tx>
            <c:strRef>
              <c:f>pivot_backend!$I$145:$I$146</c:f>
              <c:strCache>
                <c:ptCount val="1"/>
                <c:pt idx="0">
                  <c:v>2</c:v>
                </c:pt>
              </c:strCache>
            </c:strRef>
          </c:tx>
          <c:spPr>
            <a:solidFill>
              <a:srgbClr val="93C5FD"/>
            </a:solidFill>
            <a:ln>
              <a:noFill/>
            </a:ln>
            <a:effectLst/>
          </c:spPr>
          <c:invertIfNegative val="0"/>
          <c:cat>
            <c:strRef>
              <c:f>pivot_backend!$G$147:$G$150</c:f>
              <c:strCache>
                <c:ptCount val="3"/>
                <c:pt idx="0">
                  <c:v>Jan</c:v>
                </c:pt>
                <c:pt idx="1">
                  <c:v>Feb</c:v>
                </c:pt>
                <c:pt idx="2">
                  <c:v>Mar</c:v>
                </c:pt>
              </c:strCache>
            </c:strRef>
          </c:cat>
          <c:val>
            <c:numRef>
              <c:f>pivot_backend!$I$147:$I$150</c:f>
              <c:numCache>
                <c:formatCode>General</c:formatCode>
                <c:ptCount val="3"/>
                <c:pt idx="0">
                  <c:v>37</c:v>
                </c:pt>
                <c:pt idx="1">
                  <c:v>51</c:v>
                </c:pt>
                <c:pt idx="2">
                  <c:v>39</c:v>
                </c:pt>
              </c:numCache>
            </c:numRef>
          </c:val>
          <c:extLst>
            <c:ext xmlns:c16="http://schemas.microsoft.com/office/drawing/2014/chart" uri="{C3380CC4-5D6E-409C-BE32-E72D297353CC}">
              <c16:uniqueId val="{00000001-4FAC-4030-8A67-7CB7472124E2}"/>
            </c:ext>
          </c:extLst>
        </c:ser>
        <c:ser>
          <c:idx val="2"/>
          <c:order val="2"/>
          <c:tx>
            <c:strRef>
              <c:f>pivot_backend!$J$145:$J$146</c:f>
              <c:strCache>
                <c:ptCount val="1"/>
                <c:pt idx="0">
                  <c:v>3</c:v>
                </c:pt>
              </c:strCache>
            </c:strRef>
          </c:tx>
          <c:spPr>
            <a:solidFill>
              <a:srgbClr val="60A5FA"/>
            </a:solidFill>
            <a:ln>
              <a:noFill/>
            </a:ln>
            <a:effectLst/>
          </c:spPr>
          <c:invertIfNegative val="0"/>
          <c:cat>
            <c:strRef>
              <c:f>pivot_backend!$G$147:$G$150</c:f>
              <c:strCache>
                <c:ptCount val="3"/>
                <c:pt idx="0">
                  <c:v>Jan</c:v>
                </c:pt>
                <c:pt idx="1">
                  <c:v>Feb</c:v>
                </c:pt>
                <c:pt idx="2">
                  <c:v>Mar</c:v>
                </c:pt>
              </c:strCache>
            </c:strRef>
          </c:cat>
          <c:val>
            <c:numRef>
              <c:f>pivot_backend!$J$147:$J$150</c:f>
              <c:numCache>
                <c:formatCode>General</c:formatCode>
                <c:ptCount val="3"/>
                <c:pt idx="0">
                  <c:v>150</c:v>
                </c:pt>
                <c:pt idx="1">
                  <c:v>182</c:v>
                </c:pt>
                <c:pt idx="2">
                  <c:v>163</c:v>
                </c:pt>
              </c:numCache>
            </c:numRef>
          </c:val>
          <c:extLst>
            <c:ext xmlns:c16="http://schemas.microsoft.com/office/drawing/2014/chart" uri="{C3380CC4-5D6E-409C-BE32-E72D297353CC}">
              <c16:uniqueId val="{00000002-4FAC-4030-8A67-7CB7472124E2}"/>
            </c:ext>
          </c:extLst>
        </c:ser>
        <c:ser>
          <c:idx val="3"/>
          <c:order val="3"/>
          <c:tx>
            <c:strRef>
              <c:f>pivot_backend!$K$145:$K$146</c:f>
              <c:strCache>
                <c:ptCount val="1"/>
                <c:pt idx="0">
                  <c:v>4</c:v>
                </c:pt>
              </c:strCache>
            </c:strRef>
          </c:tx>
          <c:spPr>
            <a:solidFill>
              <a:srgbClr val="2563EB"/>
            </a:solidFill>
            <a:ln>
              <a:noFill/>
            </a:ln>
            <a:effectLst/>
          </c:spPr>
          <c:invertIfNegative val="0"/>
          <c:cat>
            <c:strRef>
              <c:f>pivot_backend!$G$147:$G$150</c:f>
              <c:strCache>
                <c:ptCount val="3"/>
                <c:pt idx="0">
                  <c:v>Jan</c:v>
                </c:pt>
                <c:pt idx="1">
                  <c:v>Feb</c:v>
                </c:pt>
                <c:pt idx="2">
                  <c:v>Mar</c:v>
                </c:pt>
              </c:strCache>
            </c:strRef>
          </c:cat>
          <c:val>
            <c:numRef>
              <c:f>pivot_backend!$K$147:$K$150</c:f>
              <c:numCache>
                <c:formatCode>General</c:formatCode>
                <c:ptCount val="3"/>
                <c:pt idx="0">
                  <c:v>312</c:v>
                </c:pt>
                <c:pt idx="1">
                  <c:v>373</c:v>
                </c:pt>
                <c:pt idx="2">
                  <c:v>351</c:v>
                </c:pt>
              </c:numCache>
            </c:numRef>
          </c:val>
          <c:extLst>
            <c:ext xmlns:c16="http://schemas.microsoft.com/office/drawing/2014/chart" uri="{C3380CC4-5D6E-409C-BE32-E72D297353CC}">
              <c16:uniqueId val="{00000003-4FAC-4030-8A67-7CB7472124E2}"/>
            </c:ext>
          </c:extLst>
        </c:ser>
        <c:ser>
          <c:idx val="4"/>
          <c:order val="4"/>
          <c:tx>
            <c:strRef>
              <c:f>pivot_backend!$L$145:$L$146</c:f>
              <c:strCache>
                <c:ptCount val="1"/>
                <c:pt idx="0">
                  <c:v>5</c:v>
                </c:pt>
              </c:strCache>
            </c:strRef>
          </c:tx>
          <c:spPr>
            <a:solidFill>
              <a:srgbClr val="1E3A8A"/>
            </a:solidFill>
            <a:ln>
              <a:noFill/>
            </a:ln>
            <a:effectLst/>
          </c:spPr>
          <c:invertIfNegative val="0"/>
          <c:cat>
            <c:strRef>
              <c:f>pivot_backend!$G$147:$G$150</c:f>
              <c:strCache>
                <c:ptCount val="3"/>
                <c:pt idx="0">
                  <c:v>Jan</c:v>
                </c:pt>
                <c:pt idx="1">
                  <c:v>Feb</c:v>
                </c:pt>
                <c:pt idx="2">
                  <c:v>Mar</c:v>
                </c:pt>
              </c:strCache>
            </c:strRef>
          </c:cat>
          <c:val>
            <c:numRef>
              <c:f>pivot_backend!$L$147:$L$150</c:f>
              <c:numCache>
                <c:formatCode>General</c:formatCode>
                <c:ptCount val="3"/>
                <c:pt idx="0">
                  <c:v>224</c:v>
                </c:pt>
                <c:pt idx="1">
                  <c:v>247</c:v>
                </c:pt>
                <c:pt idx="2">
                  <c:v>250</c:v>
                </c:pt>
              </c:numCache>
            </c:numRef>
          </c:val>
          <c:extLst>
            <c:ext xmlns:c16="http://schemas.microsoft.com/office/drawing/2014/chart" uri="{C3380CC4-5D6E-409C-BE32-E72D297353CC}">
              <c16:uniqueId val="{00000010-4FAC-4030-8A67-7CB7472124E2}"/>
            </c:ext>
          </c:extLst>
        </c:ser>
        <c:dLbls>
          <c:showLegendKey val="0"/>
          <c:showVal val="0"/>
          <c:showCatName val="0"/>
          <c:showSerName val="0"/>
          <c:showPercent val="0"/>
          <c:showBubbleSize val="0"/>
        </c:dLbls>
        <c:gapWidth val="219"/>
        <c:overlap val="-27"/>
        <c:axId val="399939727"/>
        <c:axId val="399940687"/>
      </c:barChart>
      <c:catAx>
        <c:axId val="3999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399940687"/>
        <c:crosses val="autoZero"/>
        <c:auto val="1"/>
        <c:lblAlgn val="ctr"/>
        <c:lblOffset val="100"/>
        <c:noMultiLvlLbl val="0"/>
      </c:catAx>
      <c:valAx>
        <c:axId val="399940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39993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[ecommerce-sales-and-customer-analysis-dashboard.xlsx]pivot_backend!pivotProducts</c:name>
    <c:fmtId val="13"/>
  </c:pivotSource>
  <c:chart>
    <c:title>
      <c:tx>
        <c:rich>
          <a:bodyPr rot="0" spcFirstLastPara="1" vertOverflow="ellipsis" vert="horz" wrap="square" anchor="ctr" anchorCtr="1"/>
          <a:lstStyle/>
          <a:p>
            <a:pPr algn="ctr">
              <a:defRPr sz="1400" b="0" i="0" u="none" strike="noStrike" kern="1200" spc="0" baseline="0">
                <a:solidFill>
                  <a:srgbClr val="334155"/>
                </a:solidFill>
                <a:latin typeface="+mn-lt"/>
                <a:ea typeface="+mn-ea"/>
                <a:cs typeface="+mn-cs"/>
              </a:defRPr>
            </a:pPr>
            <a:r>
              <a:rPr lang="en-IN" sz="1400" b="1">
                <a:solidFill>
                  <a:srgbClr val="334155"/>
                </a:solidFill>
                <a:latin typeface="+mj-lt"/>
              </a:rPr>
              <a:t>Which</a:t>
            </a:r>
            <a:r>
              <a:rPr lang="en-IN" sz="1400" b="1" baseline="0">
                <a:solidFill>
                  <a:srgbClr val="334155"/>
                </a:solidFill>
                <a:latin typeface="+mj-lt"/>
              </a:rPr>
              <a:t> Products are popular?Breakdown by gender</a:t>
            </a:r>
            <a:endParaRPr lang="en-IN" sz="1400" b="1">
              <a:solidFill>
                <a:srgbClr val="334155"/>
              </a:solidFill>
              <a:latin typeface="+mj-lt"/>
            </a:endParaRPr>
          </a:p>
        </c:rich>
      </c:tx>
      <c:layout>
        <c:manualLayout>
          <c:xMode val="edge"/>
          <c:yMode val="edge"/>
          <c:x val="0.12659840736010514"/>
          <c:y val="2.222785346826447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rgbClr val="334155"/>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pivot_backend!$B$50:$B$51</c:f>
              <c:strCache>
                <c:ptCount val="1"/>
                <c:pt idx="0">
                  <c:v>Female</c:v>
                </c:pt>
              </c:strCache>
            </c:strRef>
          </c:tx>
          <c:spPr>
            <a:solidFill>
              <a:schemeClr val="accent1"/>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pivot_backend!$B$52:$B$72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5A6D-409F-857B-0295A57030FD}"/>
            </c:ext>
          </c:extLst>
        </c:ser>
        <c:ser>
          <c:idx val="1"/>
          <c:order val="1"/>
          <c:tx>
            <c:strRef>
              <c:f>pivot_backend!$C$50:$C$51</c:f>
              <c:strCache>
                <c:ptCount val="1"/>
                <c:pt idx="0">
                  <c:v>Male</c:v>
                </c:pt>
              </c:strCache>
            </c:strRef>
          </c:tx>
          <c:spPr>
            <a:solidFill>
              <a:schemeClr val="accent2"/>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pivot_backend!$C$52:$C$72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5A6D-409F-857B-0295A57030FD}"/>
            </c:ext>
          </c:extLst>
        </c:ser>
        <c:ser>
          <c:idx val="2"/>
          <c:order val="2"/>
          <c:tx>
            <c:strRef>
              <c:f>pivot_backend!$D$50:$D$51</c:f>
              <c:strCache>
                <c:ptCount val="1"/>
                <c:pt idx="0">
                  <c:v>Other</c:v>
                </c:pt>
              </c:strCache>
            </c:strRef>
          </c:tx>
          <c:spPr>
            <a:solidFill>
              <a:schemeClr val="accent3"/>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pivot_backend!$D$52:$D$72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5A6D-409F-857B-0295A57030FD}"/>
            </c:ext>
          </c:extLst>
        </c:ser>
        <c:ser>
          <c:idx val="3"/>
          <c:order val="3"/>
          <c:tx>
            <c:strRef>
              <c:f>pivot_backend!$E$50:$E$51</c:f>
              <c:strCache>
                <c:ptCount val="1"/>
                <c:pt idx="0">
                  <c:v>Unknown</c:v>
                </c:pt>
              </c:strCache>
            </c:strRef>
          </c:tx>
          <c:spPr>
            <a:solidFill>
              <a:schemeClr val="accent4"/>
            </a:solidFill>
            <a:ln>
              <a:noFill/>
            </a:ln>
            <a:effectLst/>
          </c:spPr>
          <c:invertIfNegative val="0"/>
          <c:cat>
            <c:strRef>
              <c:f>pivot_backend!$A$52:$A$72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pivot_backend!$E$52:$E$72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5A6D-409F-857B-0295A57030FD}"/>
            </c:ext>
          </c:extLst>
        </c:ser>
        <c:dLbls>
          <c:showLegendKey val="0"/>
          <c:showVal val="0"/>
          <c:showCatName val="0"/>
          <c:showSerName val="0"/>
          <c:showPercent val="0"/>
          <c:showBubbleSize val="0"/>
        </c:dLbls>
        <c:gapWidth val="10"/>
        <c:overlap val="100"/>
        <c:axId val="784677615"/>
        <c:axId val="784677135"/>
      </c:barChart>
      <c:catAx>
        <c:axId val="784677615"/>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crossAx val="784677135"/>
        <c:crosses val="autoZero"/>
        <c:auto val="1"/>
        <c:lblAlgn val="ctr"/>
        <c:lblOffset val="100"/>
        <c:noMultiLvlLbl val="0"/>
      </c:catAx>
      <c:valAx>
        <c:axId val="78467713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64748B"/>
                </a:solidFill>
                <a:latin typeface="+mn-lt"/>
                <a:ea typeface="+mn-ea"/>
                <a:cs typeface="+mn-cs"/>
              </a:defRPr>
            </a:pPr>
            <a:endParaRPr lang="en-US"/>
          </a:p>
        </c:txPr>
        <c:crossAx val="78467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[ecommerce-sales-and-customer-analysis-dashboard.xlsx]pivot_backend!pivotGender</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3C5FD"/>
          </a:solidFill>
          <a:ln w="19050">
            <a:solidFill>
              <a:schemeClr val="lt1"/>
            </a:solidFill>
          </a:ln>
          <a:effectLst/>
        </c:spPr>
        <c:dLbl>
          <c:idx val="0"/>
          <c:layout>
            <c:manualLayout>
              <c:x val="0.11552213035159183"/>
              <c:y val="0.2646688295220734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5DCA688-236F-4618-A2AC-4A8EEBD331D8}" type="CATEGORYNAME">
                  <a:rPr lang="en-US">
                    <a:solidFill>
                      <a:srgbClr val="475569"/>
                    </a:solidFill>
                  </a:rPr>
                  <a:pPr>
                    <a:defRPr>
                      <a:solidFill>
                        <a:srgbClr val="475569"/>
                      </a:solidFill>
                    </a:defRPr>
                  </a:pPr>
                  <a:t>[CATEGORY NAME]</a:t>
                </a:fld>
                <a:r>
                  <a:rPr lang="en-US">
                    <a:solidFill>
                      <a:srgbClr val="475569"/>
                    </a:solidFill>
                  </a:rPr>
                  <a:t>,</a:t>
                </a:r>
                <a:fld id="{C25B4212-21A9-4AB7-B029-03178A4951C3}" type="VALUE">
                  <a:rPr lang="en-US">
                    <a:solidFill>
                      <a:srgbClr val="475569"/>
                    </a:solidFill>
                  </a:rPr>
                  <a:pPr>
                    <a:defRPr>
                      <a:solidFill>
                        <a:srgbClr val="475569"/>
                      </a:solidFill>
                    </a:defRPr>
                  </a:pPr>
                  <a:t>[VALUE]</a:t>
                </a:fld>
                <a:r>
                  <a:rPr lang="en-US" baseline="0">
                    <a:solidFill>
                      <a:srgbClr val="475569"/>
                    </a:solidFill>
                  </a:rPr>
                  <a:t>
</a:t>
                </a:r>
                <a:fld id="{73F58086-72BB-4864-879C-AC90488A339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087932451145446"/>
                  <c:h val="0.42321275127190183"/>
                </c:manualLayout>
              </c15:layout>
              <c15:dlblFieldTable/>
              <c15:showDataLabelsRange val="0"/>
            </c:ext>
          </c:extLst>
        </c:dLbl>
      </c:pivotFmt>
      <c:pivotFmt>
        <c:idx val="8"/>
        <c:spPr>
          <a:solidFill>
            <a:srgbClr val="2563EB"/>
          </a:solidFill>
          <a:ln w="19050">
            <a:solidFill>
              <a:schemeClr val="lt1"/>
            </a:solidFill>
          </a:ln>
          <a:effectLst/>
        </c:spPr>
        <c:dLbl>
          <c:idx val="0"/>
          <c:layout>
            <c:manualLayout>
              <c:x val="-0.14726753506438287"/>
              <c:y val="0.1836134567578014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7CE0B9F-7D2A-45E3-BAEB-232D84A3766C}" type="CATEGORYNAME">
                  <a:rPr lang="en-US">
                    <a:solidFill>
                      <a:srgbClr val="475569"/>
                    </a:solidFill>
                  </a:rPr>
                  <a:pPr>
                    <a:defRPr>
                      <a:solidFill>
                        <a:srgbClr val="475569"/>
                      </a:solidFill>
                    </a:defRPr>
                  </a:pPr>
                  <a:t>[CATEGORY NAME]</a:t>
                </a:fld>
                <a:r>
                  <a:rPr lang="en-US">
                    <a:solidFill>
                      <a:srgbClr val="475569"/>
                    </a:solidFill>
                  </a:rPr>
                  <a:t>,</a:t>
                </a:r>
                <a:fld id="{1245F409-8A7E-4597-81BC-7E7DFB00476A}" type="VALUE">
                  <a:rPr lang="en-US">
                    <a:solidFill>
                      <a:srgbClr val="475569"/>
                    </a:solidFill>
                  </a:rPr>
                  <a:pPr>
                    <a:defRPr>
                      <a:solidFill>
                        <a:srgbClr val="475569"/>
                      </a:solidFill>
                    </a:defRPr>
                  </a:pPr>
                  <a:t>[VALUE]</a:t>
                </a:fld>
                <a:r>
                  <a:rPr lang="en-US" baseline="0">
                    <a:solidFill>
                      <a:srgbClr val="475569"/>
                    </a:solidFill>
                  </a:rPr>
                  <a:t>
</a:t>
                </a:r>
                <a:fld id="{B0316CD0-CF02-48C9-9E10-D0D526999FDB}"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22805495383172"/>
                  <c:h val="0.40402199185687404"/>
                </c:manualLayout>
              </c15:layout>
              <c15:dlblFieldTable/>
              <c15:showDataLabelsRange val="0"/>
            </c:ext>
          </c:extLst>
        </c:dLbl>
      </c:pivotFmt>
      <c:pivotFmt>
        <c:idx val="9"/>
        <c:spPr>
          <a:solidFill>
            <a:srgbClr val="F59E0B"/>
          </a:solidFill>
          <a:ln w="19050">
            <a:solidFill>
              <a:schemeClr val="lt1"/>
            </a:solidFill>
          </a:ln>
          <a:effectLst/>
        </c:spPr>
        <c:dLbl>
          <c:idx val="0"/>
          <c:layout>
            <c:manualLayout>
              <c:x val="-0.23287477420760247"/>
              <c:y val="-0.1022411090066883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9A82B75A-C2DC-4E9D-8954-3BD6BDB515C7}" type="CATEGORYNAME">
                  <a:rPr lang="en-US">
                    <a:solidFill>
                      <a:srgbClr val="475569"/>
                    </a:solidFill>
                  </a:rPr>
                  <a:pPr>
                    <a:defRPr>
                      <a:solidFill>
                        <a:srgbClr val="475569"/>
                      </a:solidFill>
                    </a:defRPr>
                  </a:pPr>
                  <a:t>[CATEGORY NAME]</a:t>
                </a:fld>
                <a:r>
                  <a:rPr lang="en-US" baseline="0">
                    <a:solidFill>
                      <a:srgbClr val="475569"/>
                    </a:solidFill>
                  </a:rPr>
                  <a:t>,</a:t>
                </a:r>
                <a:fld id="{91609C63-A367-4A67-A85C-0A9A67CD2287}" type="VALUE">
                  <a:rPr lang="en-US" baseline="0">
                    <a:solidFill>
                      <a:srgbClr val="475569"/>
                    </a:solidFill>
                  </a:rPr>
                  <a:pPr>
                    <a:defRPr>
                      <a:solidFill>
                        <a:srgbClr val="475569"/>
                      </a:solidFill>
                    </a:defRPr>
                  </a:pPr>
                  <a:t>[VALUE]</a:t>
                </a:fld>
                <a:fld id="{CA691609-0ADB-4CD1-866A-8B14B1E1FBAF}"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89754096826666"/>
                  <c:h val="0.39332586615119397"/>
                </c:manualLayout>
              </c15:layout>
              <c15:dlblFieldTable/>
              <c15:showDataLabelsRange val="0"/>
            </c:ext>
          </c:extLst>
        </c:dLbl>
      </c:pivotFmt>
      <c:pivotFmt>
        <c:idx val="10"/>
        <c:spPr>
          <a:solidFill>
            <a:srgbClr val="CBD5E1"/>
          </a:solidFill>
          <a:ln w="19050">
            <a:solidFill>
              <a:schemeClr val="lt1"/>
            </a:solidFill>
          </a:ln>
          <a:effectLst/>
        </c:spPr>
        <c:dLbl>
          <c:idx val="0"/>
          <c:layout>
            <c:manualLayout>
              <c:x val="0.37825550152014981"/>
              <c:y val="-2.457412429247021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08DC6769-729E-472C-95EE-D4491B2A7E73}" type="CATEGORYNAME">
                  <a:rPr lang="en-US">
                    <a:solidFill>
                      <a:srgbClr val="475569"/>
                    </a:solidFill>
                  </a:rPr>
                  <a:pPr>
                    <a:defRPr>
                      <a:solidFill>
                        <a:srgbClr val="475569"/>
                      </a:solidFill>
                    </a:defRPr>
                  </a:pPr>
                  <a:t>[CATEGORY NAME]</a:t>
                </a:fld>
                <a:r>
                  <a:rPr lang="en-US">
                    <a:solidFill>
                      <a:srgbClr val="475569"/>
                    </a:solidFill>
                  </a:rPr>
                  <a:t>,</a:t>
                </a:r>
                <a:fld id="{6F31787C-B08E-4C3F-8CB0-A9FCEAFA1CA4}" type="VALUE">
                  <a:rPr lang="en-US">
                    <a:solidFill>
                      <a:srgbClr val="475569"/>
                    </a:solidFill>
                  </a:rPr>
                  <a:pPr>
                    <a:defRPr>
                      <a:solidFill>
                        <a:srgbClr val="475569"/>
                      </a:solidFill>
                    </a:defRPr>
                  </a:pPr>
                  <a:t>[VALUE]</a:t>
                </a:fld>
                <a:r>
                  <a:rPr lang="en-US" baseline="0">
                    <a:solidFill>
                      <a:srgbClr val="475569"/>
                    </a:solidFill>
                  </a:rPr>
                  <a:t>
</a:t>
                </a:r>
                <a:fld id="{753B60E3-5147-418D-A417-5269DFC8306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464316753889469"/>
                  <c:h val="0.45802139339006875"/>
                </c:manualLayout>
              </c15:layout>
              <c15:dlblFieldTable/>
              <c15:showDataLabelsRange val="0"/>
            </c:ext>
          </c:extLst>
        </c:dLbl>
      </c:pivotFmt>
    </c:pivotFmts>
    <c:plotArea>
      <c:layout/>
      <c:doughnutChart>
        <c:varyColors val="1"/>
        <c:ser>
          <c:idx val="0"/>
          <c:order val="0"/>
          <c:tx>
            <c:strRef>
              <c:f>pivot_backend!$J$47</c:f>
              <c:strCache>
                <c:ptCount val="1"/>
                <c:pt idx="0">
                  <c:v>Total</c:v>
                </c:pt>
              </c:strCache>
            </c:strRef>
          </c:tx>
          <c:dPt>
            <c:idx val="0"/>
            <c:bubble3D val="0"/>
            <c:spPr>
              <a:solidFill>
                <a:srgbClr val="93C5FD"/>
              </a:solidFill>
              <a:ln w="19050">
                <a:solidFill>
                  <a:schemeClr val="lt1"/>
                </a:solidFill>
              </a:ln>
              <a:effectLst/>
            </c:spPr>
            <c:extLst>
              <c:ext xmlns:c16="http://schemas.microsoft.com/office/drawing/2014/chart" uri="{C3380CC4-5D6E-409C-BE32-E72D297353CC}">
                <c16:uniqueId val="{00000001-83BA-47AB-905A-2C06B3415343}"/>
              </c:ext>
            </c:extLst>
          </c:dPt>
          <c:dPt>
            <c:idx val="1"/>
            <c:bubble3D val="0"/>
            <c:spPr>
              <a:solidFill>
                <a:srgbClr val="2563EB"/>
              </a:solidFill>
              <a:ln w="19050">
                <a:solidFill>
                  <a:schemeClr val="lt1"/>
                </a:solidFill>
              </a:ln>
              <a:effectLst/>
            </c:spPr>
            <c:extLst>
              <c:ext xmlns:c16="http://schemas.microsoft.com/office/drawing/2014/chart" uri="{C3380CC4-5D6E-409C-BE32-E72D297353CC}">
                <c16:uniqueId val="{00000003-83BA-47AB-905A-2C06B3415343}"/>
              </c:ext>
            </c:extLst>
          </c:dPt>
          <c:dPt>
            <c:idx val="2"/>
            <c:bubble3D val="0"/>
            <c:spPr>
              <a:solidFill>
                <a:srgbClr val="F59E0B"/>
              </a:solidFill>
              <a:ln w="19050">
                <a:solidFill>
                  <a:schemeClr val="lt1"/>
                </a:solidFill>
              </a:ln>
              <a:effectLst/>
            </c:spPr>
            <c:extLst>
              <c:ext xmlns:c16="http://schemas.microsoft.com/office/drawing/2014/chart" uri="{C3380CC4-5D6E-409C-BE32-E72D297353CC}">
                <c16:uniqueId val="{00000005-83BA-47AB-905A-2C06B3415343}"/>
              </c:ext>
            </c:extLst>
          </c:dPt>
          <c:dPt>
            <c:idx val="3"/>
            <c:bubble3D val="0"/>
            <c:spPr>
              <a:solidFill>
                <a:srgbClr val="CBD5E1"/>
              </a:solidFill>
              <a:ln w="19050">
                <a:solidFill>
                  <a:schemeClr val="lt1"/>
                </a:solidFill>
              </a:ln>
              <a:effectLst/>
            </c:spPr>
            <c:extLst>
              <c:ext xmlns:c16="http://schemas.microsoft.com/office/drawing/2014/chart" uri="{C3380CC4-5D6E-409C-BE32-E72D297353CC}">
                <c16:uniqueId val="{00000007-83BA-47AB-905A-2C06B3415343}"/>
              </c:ext>
            </c:extLst>
          </c:dPt>
          <c:dLbls>
            <c:dLbl>
              <c:idx val="0"/>
              <c:layout>
                <c:manualLayout>
                  <c:x val="0.11552213035159183"/>
                  <c:y val="0.2646688295220734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5DCA688-236F-4618-A2AC-4A8EEBD331D8}" type="CATEGORYNAME">
                      <a:rPr lang="en-US">
                        <a:solidFill>
                          <a:srgbClr val="475569"/>
                        </a:solidFill>
                      </a:rPr>
                      <a:pPr>
                        <a:defRPr>
                          <a:solidFill>
                            <a:srgbClr val="475569"/>
                          </a:solidFill>
                        </a:defRPr>
                      </a:pPr>
                      <a:t>[CATEGORY NAME]</a:t>
                    </a:fld>
                    <a:r>
                      <a:rPr lang="en-US">
                        <a:solidFill>
                          <a:srgbClr val="475569"/>
                        </a:solidFill>
                      </a:rPr>
                      <a:t>,</a:t>
                    </a:r>
                    <a:fld id="{C25B4212-21A9-4AB7-B029-03178A4951C3}" type="VALUE">
                      <a:rPr lang="en-US">
                        <a:solidFill>
                          <a:srgbClr val="475569"/>
                        </a:solidFill>
                      </a:rPr>
                      <a:pPr>
                        <a:defRPr>
                          <a:solidFill>
                            <a:srgbClr val="475569"/>
                          </a:solidFill>
                        </a:defRPr>
                      </a:pPr>
                      <a:t>[VALUE]</a:t>
                    </a:fld>
                    <a:r>
                      <a:rPr lang="en-US" baseline="0">
                        <a:solidFill>
                          <a:srgbClr val="475569"/>
                        </a:solidFill>
                      </a:rPr>
                      <a:t>
</a:t>
                    </a:r>
                    <a:fld id="{73F58086-72BB-4864-879C-AC90488A339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087932451145446"/>
                      <c:h val="0.42321275127190183"/>
                    </c:manualLayout>
                  </c15:layout>
                  <c15:dlblFieldTable/>
                  <c15:showDataLabelsRange val="0"/>
                </c:ext>
                <c:ext xmlns:c16="http://schemas.microsoft.com/office/drawing/2014/chart" uri="{C3380CC4-5D6E-409C-BE32-E72D297353CC}">
                  <c16:uniqueId val="{00000001-83BA-47AB-905A-2C06B3415343}"/>
                </c:ext>
              </c:extLst>
            </c:dLbl>
            <c:dLbl>
              <c:idx val="1"/>
              <c:layout>
                <c:manualLayout>
                  <c:x val="-0.14726753506438287"/>
                  <c:y val="0.18361345675780141"/>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E7CE0B9F-7D2A-45E3-BAEB-232D84A3766C}" type="CATEGORYNAME">
                      <a:rPr lang="en-US">
                        <a:solidFill>
                          <a:srgbClr val="475569"/>
                        </a:solidFill>
                      </a:rPr>
                      <a:pPr>
                        <a:defRPr>
                          <a:solidFill>
                            <a:srgbClr val="475569"/>
                          </a:solidFill>
                        </a:defRPr>
                      </a:pPr>
                      <a:t>[CATEGORY NAME]</a:t>
                    </a:fld>
                    <a:r>
                      <a:rPr lang="en-US">
                        <a:solidFill>
                          <a:srgbClr val="475569"/>
                        </a:solidFill>
                      </a:rPr>
                      <a:t>,</a:t>
                    </a:r>
                    <a:fld id="{1245F409-8A7E-4597-81BC-7E7DFB00476A}" type="VALUE">
                      <a:rPr lang="en-US">
                        <a:solidFill>
                          <a:srgbClr val="475569"/>
                        </a:solidFill>
                      </a:rPr>
                      <a:pPr>
                        <a:defRPr>
                          <a:solidFill>
                            <a:srgbClr val="475569"/>
                          </a:solidFill>
                        </a:defRPr>
                      </a:pPr>
                      <a:t>[VALUE]</a:t>
                    </a:fld>
                    <a:r>
                      <a:rPr lang="en-US" baseline="0">
                        <a:solidFill>
                          <a:srgbClr val="475569"/>
                        </a:solidFill>
                      </a:rPr>
                      <a:t>
</a:t>
                    </a:r>
                    <a:fld id="{B0316CD0-CF02-48C9-9E10-D0D526999FDB}"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22805495383172"/>
                      <c:h val="0.40402199185687404"/>
                    </c:manualLayout>
                  </c15:layout>
                  <c15:dlblFieldTable/>
                  <c15:showDataLabelsRange val="0"/>
                </c:ext>
                <c:ext xmlns:c16="http://schemas.microsoft.com/office/drawing/2014/chart" uri="{C3380CC4-5D6E-409C-BE32-E72D297353CC}">
                  <c16:uniqueId val="{00000003-83BA-47AB-905A-2C06B3415343}"/>
                </c:ext>
              </c:extLst>
            </c:dLbl>
            <c:dLbl>
              <c:idx val="2"/>
              <c:layout>
                <c:manualLayout>
                  <c:x val="-0.23287477420760247"/>
                  <c:y val="-0.10224110900668834"/>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9A82B75A-C2DC-4E9D-8954-3BD6BDB515C7}" type="CATEGORYNAME">
                      <a:rPr lang="en-US">
                        <a:solidFill>
                          <a:srgbClr val="475569"/>
                        </a:solidFill>
                      </a:rPr>
                      <a:pPr>
                        <a:defRPr>
                          <a:solidFill>
                            <a:srgbClr val="475569"/>
                          </a:solidFill>
                        </a:defRPr>
                      </a:pPr>
                      <a:t>[CATEGORY NAME]</a:t>
                    </a:fld>
                    <a:r>
                      <a:rPr lang="en-US" baseline="0">
                        <a:solidFill>
                          <a:srgbClr val="475569"/>
                        </a:solidFill>
                      </a:rPr>
                      <a:t>,</a:t>
                    </a:r>
                    <a:fld id="{91609C63-A367-4A67-A85C-0A9A67CD2287}" type="VALUE">
                      <a:rPr lang="en-US" baseline="0">
                        <a:solidFill>
                          <a:srgbClr val="475569"/>
                        </a:solidFill>
                      </a:rPr>
                      <a:pPr>
                        <a:defRPr>
                          <a:solidFill>
                            <a:srgbClr val="475569"/>
                          </a:solidFill>
                        </a:defRPr>
                      </a:pPr>
                      <a:t>[VALUE]</a:t>
                    </a:fld>
                    <a:fld id="{CA691609-0ADB-4CD1-866A-8B14B1E1FBAF}"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6989754096826666"/>
                      <c:h val="0.39332586615119397"/>
                    </c:manualLayout>
                  </c15:layout>
                  <c15:dlblFieldTable/>
                  <c15:showDataLabelsRange val="0"/>
                </c:ext>
                <c:ext xmlns:c16="http://schemas.microsoft.com/office/drawing/2014/chart" uri="{C3380CC4-5D6E-409C-BE32-E72D297353CC}">
                  <c16:uniqueId val="{00000005-83BA-47AB-905A-2C06B3415343}"/>
                </c:ext>
              </c:extLst>
            </c:dLbl>
            <c:dLbl>
              <c:idx val="3"/>
              <c:layout>
                <c:manualLayout>
                  <c:x val="0.37825550152014981"/>
                  <c:y val="-2.4574124292470214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fld id="{08DC6769-729E-472C-95EE-D4491B2A7E73}" type="CATEGORYNAME">
                      <a:rPr lang="en-US">
                        <a:solidFill>
                          <a:srgbClr val="475569"/>
                        </a:solidFill>
                      </a:rPr>
                      <a:pPr>
                        <a:defRPr>
                          <a:solidFill>
                            <a:srgbClr val="475569"/>
                          </a:solidFill>
                        </a:defRPr>
                      </a:pPr>
                      <a:t>[CATEGORY NAME]</a:t>
                    </a:fld>
                    <a:r>
                      <a:rPr lang="en-US">
                        <a:solidFill>
                          <a:srgbClr val="475569"/>
                        </a:solidFill>
                      </a:rPr>
                      <a:t>,</a:t>
                    </a:r>
                    <a:fld id="{6F31787C-B08E-4C3F-8CB0-A9FCEAFA1CA4}" type="VALUE">
                      <a:rPr lang="en-US">
                        <a:solidFill>
                          <a:srgbClr val="475569"/>
                        </a:solidFill>
                      </a:rPr>
                      <a:pPr>
                        <a:defRPr>
                          <a:solidFill>
                            <a:srgbClr val="475569"/>
                          </a:solidFill>
                        </a:defRPr>
                      </a:pPr>
                      <a:t>[VALUE]</a:t>
                    </a:fld>
                    <a:r>
                      <a:rPr lang="en-US" baseline="0">
                        <a:solidFill>
                          <a:srgbClr val="475569"/>
                        </a:solidFill>
                      </a:rPr>
                      <a:t>
</a:t>
                    </a:r>
                    <a:fld id="{753B60E3-5147-418D-A417-5269DFC83069}" type="PERCENTAGE">
                      <a:rPr lang="en-US" baseline="0">
                        <a:solidFill>
                          <a:srgbClr val="475569"/>
                        </a:solidFill>
                      </a:rPr>
                      <a:pPr>
                        <a:defRPr>
                          <a:solidFill>
                            <a:srgbClr val="475569"/>
                          </a:solidFill>
                        </a:defRPr>
                      </a:pPr>
                      <a:t>[PERCENTAGE]</a:t>
                    </a:fld>
                    <a:endParaRPr lang="en-US" baseline="0">
                      <a:solidFill>
                        <a:srgbClr val="475569"/>
                      </a:solidFill>
                    </a:endParaRPr>
                  </a:p>
                </c:rich>
              </c:tx>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2464316753889469"/>
                      <c:h val="0.45802139339006875"/>
                    </c:manualLayout>
                  </c15:layout>
                  <c15:dlblFieldTable/>
                  <c15:showDataLabelsRange val="0"/>
                </c:ext>
                <c:ext xmlns:c16="http://schemas.microsoft.com/office/drawing/2014/chart" uri="{C3380CC4-5D6E-409C-BE32-E72D297353CC}">
                  <c16:uniqueId val="{00000007-83BA-47AB-905A-2C06B341534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475569"/>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pivot_backend!$I$48:$I$52</c:f>
              <c:strCache>
                <c:ptCount val="4"/>
                <c:pt idx="0">
                  <c:v>Female</c:v>
                </c:pt>
                <c:pt idx="1">
                  <c:v>Male</c:v>
                </c:pt>
                <c:pt idx="2">
                  <c:v>Other</c:v>
                </c:pt>
                <c:pt idx="3">
                  <c:v>Unknown</c:v>
                </c:pt>
              </c:strCache>
            </c:strRef>
          </c:cat>
          <c:val>
            <c:numRef>
              <c:f>pivot_backend!$J$48:$J$52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83BA-47AB-905A-2C06B3415343}"/>
            </c:ext>
          </c:extLst>
        </c:ser>
        <c:dLbls>
          <c:showLegendKey val="0"/>
          <c:showVal val="0"/>
          <c:showCatName val="0"/>
          <c:showSerName val="0"/>
          <c:showPercent val="0"/>
          <c:showBubbleSize val="0"/>
          <c:showLeaderLines val="0"/>
        </c:dLbls>
        <c:firstSliceAng val="0"/>
        <c:holeSize val="5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sz="1400">
              <a:solidFill>
                <a:srgbClr val="334155"/>
              </a:solidFill>
            </a:defRPr>
          </a:pPr>
          <a:r>
            <a:rPr lang="en-US" sz="1400" b="1" i="0" u="none" strike="noStrike" baseline="0">
              <a:solidFill>
                <a:srgbClr val="334155"/>
              </a:solidFill>
              <a:latin typeface="+mj-lt"/>
            </a:rPr>
            <a:t>Where do our customers live?</a:t>
          </a:r>
        </a:p>
      </cx:txPr>
    </cx:title>
    <cx:plotArea>
      <cx:plotAreaRegion>
        <cx:series layoutId="regionMap" uniqueId="{00000000-BD61-4C0D-B300-694C72A2B424}">
          <cx:tx>
            <cx:txData>
              <cx:f>_xlchart.v5.2</cx:f>
              <cx:v>Quantity</cx:v>
            </cx:txData>
          </cx:tx>
          <cx:spPr>
            <a:noFill/>
            <a:ln>
              <a:solidFill>
                <a:schemeClr val="accent6">
                  <a:shade val="15000"/>
                </a:schemeClr>
              </a:solidFill>
            </a:ln>
          </cx:spPr>
          <cx:dataId val="0"/>
          <cx:layoutPr>
            <cx:geography cultureLanguage="en-US" cultureRegion="GB" attribution="Powered by Bing">
              <cx:geoCache provider="{E9337A44-BEBE-4D9F-B70C-5C5E7DAFC167}">
                <cx:binary>5H1Zc9tIsu5fcfj5gl0LgKqamJ6IBsBFu2TJ6wuClmjsaxXWX38SkuwRQcoDnWjGieFld0eHDWYx
gQ+5Z1b98779x328WZfv2iRO5T/u2z/f+0rl//jjD3nvb5K1nCXBfZnJ7Iea3WfJH9mPH8H95o+H
ct0EqfcHQVj/495fl2rTvv/XP2E1b5OdZ/drFWTpTbUpuw8bWcVK/uba3kvv1g9JkDqBVGVwr/Cf
7+11HPzIyjRYv9++Rv58/yGoN6UMHjbv7KxKVff+3SZVgeruunzz5/utlcj7d3+Mf3CHuXcx8K+q
ByCmdCY4Mig10dMHv38XZ6n3fFnDmM0oY4hgJn7+7OU6Aco3MfXI0vrhodxICbf3+P99S2zdCzyU
v6Y8jPvhoQxIeADKn+8/poHaPLy7VWu1ke/fBTJ7fGplZ2fDHX+8fXxEf2xj+a9/jv4CHtrob17A
PX7C/+nSNqL/Ae2LTXkP/P/9UAOSyBQmN7l4/PAR1ATNdI4Fw0x/fBfgVXh6z54An87XfrRH9BOg
HlEcGc5/xSBHD+uDAM2Rzgk36RPQbAw0mRFGdGaCtniJ8Bs42g/xeIEJGI9Jjgzk2yzNkkNgzGc6
FaZghD3pbbqLMcOGqetc3wZ5Okf7MR7RT4B4RHFkCNsZGJ8BYakOgzPCoK8pZa8obTLDVOcGw6DO
XwrzW/naj/beVSZgvpfuyJA/z+S7v1JvE2/kAZS4PkMGIZTrxn7gMZ8RnVIdzPU+a/1G5vajv2+R
CeDvIzsy7E+SfFMG6/gAwJMZE4QbOsX7NTs2ZoZpGAZmTz77yE17C2f7Ud9ZYQLkOzRHhvdfcR6k
h4i/+MwU1DCxob8i5mLG4GMYbGTHp3O0H+UR/QSMRxRHhjDEi2kg43V1CGXOZqaOGOBMn2QaHO+t
KJvgGUKDOmcjK/42rvYjvWeNCWjvoToyxM/X0SEkWswQ6G6GxGtYk5nABjY5M7c9tqn87Ed5i3oC
vlvfPzJk/0rWD1l5ANvMZ+BwmYgMQdW2ACNQ04QA5mKfNzadof3gjugnwDuiODKAL9f5YYItAhG1
jskrrheBxAkXOjL4KHMylZ/96G5RT8B26/tHhqxVKXUYrWxgQgG6V/wssMCGoZsYsN/WypMZ2o/t
NvkEcLcJjgxdZxO/u8ygmvL362Ydz5ihgxIe0iXDZyfrqc8IWGbIeo6E901M7Ud5d4kJSO8SHRna
dxt/fYjkp45mEPyakB/BT1BDaWrbGoOepjoGcSb7rPF0vvajPaKfAPWI4shwvtzU64MUMsSMmIRx
ioz9qZAhbMJCB50+cqWnc7Qf4RH9BIRHFEeG8MW6DPJMHsLnYlB01AkDl+oJYzC/W7KMxUyYOuNQ
6HgS9m3z/BbO9mO9s8IEtHdojgxv6EZYQ8/B+hC5ED7DwiSYQFfB42cnF4JmJkcCFPhIqN/E1H6s
d5eYAPYu0ZGhfR2v7zeHCZe5YALr/CkoRjtFStDfbEh0k192/GUJazpf+9Ee0U+AekRxZDjbWVwd
RIeDnR4EFrLYr4g0gfQmpyaY6m3tPZ2j/QiP6CcgPKI4MoTn8TsnKyH59ffHV5TPGBGmQZ6bSsSO
0w0pMDEIu7G3LvUm1vajvbvEBMB3iY4M84vsIbv/+/GGeFoXSBgCm0/KGazxlmMG7WKGTsD3xqDW
X6rtyQztR3mbfALC2wRHhu4CWibTQ4izOWMUQx0ZvxJDg9/NuAH/4JHOns7RfnxH9BMAHlEcGcLX
cQV9yH+/AFMInKjJQGE/I7yTEEMzAa6ZAfXnbQGeztF+hEf0ExAeURwZwst4k6YHAdggyMCC7Khm
aAoTHEPBeZTqnMzJfmC3ySfguk1wZLDertN351Ug3119D2R+CB1tQLmJmJDh4vtzI2CCIQ2KoGgx
as7/X7C2H/HXFpqA/WukR/YWXKwfIFFyAOk2Ie9FQILZc1A1TowB+MiE1k8dj8CfztF+zEf0E6Ae
URwZwidpdwjhNmccEVDg7LkiOY6noMETDLdpcj7qCZrKz350t6gnYLv1/SNDdlUl37P4Qf390gsl
KsZNrOu7tlmfYRNTBPMZ+/LZb2FpP8A7K0wAeYfmvwDo37O4ddPDxNVfP33cPVNzbx2aYzOIe01T
4Oe85lg1Q+xkYhjNwKCbHz8/f/tpkgoSyr9m/Z4C53087Uf3Je3WPT7d4u8fyn/dLNzt+r6EKalU
HUIB85nBoPkWnKsnkHbioyEDMvwDbSPDB1B+meZ4G2/70dyzxh5Qt/4K5kH3UB0Z7meb8hABkwGz
rI89QM/Trnvkdpi2wZTAu/AS66n87Ed5i3oLzP0jrlvfPzZkYaz6EMkOcwagQe/ez3GZHW8KVDJc
g/auMbRTGXoF2y3yKeBuERwZuudrKTcHkFxwp3QYkeDiuUlgt5IIkTBc1rk5gnc6R/vxHdFPAHhE
cWQID50PBwCYsplgugGx7nN5aWc4ncwMigFeMYqGJjO0H99t8gnwbhMcG7qbFIpJwUEKDmKGh0iX
sefm6rHxJRSqyMykdOjcfGl8L97C1Cso7ywxBekdoiND+66ChoDkIGNtIM6cCF2HEuJP33lcPKSc
YMzJqHj4Fp72Y72zwgSod2iODOkhF+sEG+8QYRTMq2JQ3DCzOioQw9Yx2KQcc/o8wrwt1m/iaT/U
u0tMwHqX6MjAvoA9J/7+jBb0fxCYQv21e8xOfz0kPQjh0PCFxvnoifzsx3jrbibAu/X940NWbcpN
dwB0zZnJTMYoem0/ETwzYTsRk443jYHnPZmnVxHeXmEayts0R4b01+r7+gAoDz4Yhp4PENLHz07v
LUxBwVwqB5y3lfVUfvYjvEU9Ad2t7x8ZslflGvYMOQC2FNrvoPuOm69MuIE55gbMp5rjROZ0jvaj
O6KfgO+I4sgQBgdj2AooXh+kLAy7uMEMMgwav7aLG55BxRDDUMyoq+eNbO3Het8iEwDfR3Z8qL+z
NrD34CF8L6gVG2QYYH32pMfZTRiE0hFBUHAczUzAg38DV69iPl5jGuRjqiND/K4CET+EJodcNkXD
6OIrwfPgaYtByI2RlZ7O0X6kR/QTUB5RHBnCT9JTpuvy4TA5MegFgLkIiJCf9woBPLfSJGCzIYuC
YIhm2x17O2P7AX9lnQnAv0J5hC/AabYuqkPlvCFxohP9uaoxRh+0OhFQ0hLiqQVspwCdvnsDc6+/
AeNFJsI/JjtC7BfgrN8H8j77KX57GjUghnrblssMWoMQYqDAn/oOdow5mcEbgQ1O90j9L46mRBCv
Q767zETQdwmPEPYL2Dr6EG7c46wzA+f92Y2DQseWuh/2lyHguwt9j6hPZup11LeXmIj4NtGxoe2v
5SH2bYWCNezYB9lv+lqmhcwgNY449Hf/1C1PzWG3kzl6Bedt+ikgb1McG8KP0bi1Lr8fJh7XB2U9
1KVfn6MyBYfdSGD89fEzgvut7L2C+t5lpoC/l/Ao3wG7rPopVvON5hz69BnsNYN+zkmOy2Cg1GHD
OLD4401KwIUeVM9Ern6H+9Yak0HfojoyxO+gSwVOyPj74R4au6HTDPz2Z3HeY8OHHeJA3Ec2/A0s
7cd6vMAEoMckR4bybbApD5JkFbDFMoIGBf7U+buv3Qwugtrn+yOzyXztR3p0XxOAHlEcHc4yCrqs
OoA4w65xFEIt8vOsjD3BmAn79howajUy3MF0nl5DebTCJJxHNMeGdBavD9a9ANWxocK9vyEJrLQu
QJx3MuiTOXoF5W36KRhvUxwbwsMGn4fYbAhq25QQ2Fjq2RHf8cOggwFqKJBOG0dckzl6BeFt+ikI
b1McGcKfoHmzOohZhh08wehS9NphKI+FEdhOykSjJuE3sLQf4/ECE0AekxwZyl+z+BApMjgPgcFE
LHjQ49wYWGoGp53A8OS2IZ7KyH5gt6gnoLr1/f8LSF8/le7XOX/OWq3njycEvjiY7vdXHx8OnG04
In3uw96f9X7q0T55+PM9dHTTJ8v5KxM+LLTVxX37aNV+QrdNtYEk3J/vNVDdM9iNBCAe9lg3qACk
m83zJUiKIxPSaZBUg1MShkspbCTswxGGMMcHXzUQHJYDmgEP7Ycyq54voWErfgRHJMF0ENX1X4c4
Xmdx52Xpr6fy/Od3aZVcZ0GqJNwVh5Xyp+8N/BrIgJM4OPgQiBIDNiZFYEjy+/WHYaIHvv7/dJ6E
pV6R7oorr7xmYZd8CHDOvmSxTk67Joq+dlixBVc1umi63LXqvvYdbNT9JyYadeujLF72PQ7OTJG5
c6apcp4GhT/nBbqMY19c1BS754YhyhvaKqCv4aQ3p+oVn6Msb1caF6ct6QtLKl+tcE6j+8BF6TJM
G9dBXd9YZS7bb4nve6dZ4feWrqnQISnqLMl5bndl90mQwvZjuu7chJ1WJuYLlWnNWRplYl5mTWu3
Srh2G6OriFaZVQVRZAuziCw/MFbQHqisTFBVWijsFbF4GG7yDjf6jUoTp+h77wcL869+67nz3q3t
IMpPw6wXdhum0QnpRWMrnZFrD3tfUNSdBhUtF3qe3hhZgeYBUtpSmV5/2nsVPfV9xOYxjc+wVsiT
QOnCQb6vL6M41ec1Ie7KxDW3AsOLToskbyw3q2/6MkytPJaxVWlGb2mGMQ8jnlnEE5chNSKr7uDp
aJXmfwianDpJgPGVlIQ7HWvyk8KXpxUJvxU5a60kVqkFB+2Fc+zlp75X9Mp2awBMa3DpxFqEFq6J
V6GuWZ1WenZr1MtERa7V9VW+rjMvvGiVvtGiDDkF8jIrMRB3mjS2o9C7NSm7SZhHrahtl6SOP5Gw
UeJcFyqwShJf1QW+zgj/hDzJ7JgGJ7mGli1RhsUKY+7m8DumGeVWXOvehZRGbrM0OZMUbwwjqxbS
bG5rPwotSerIjlCqW0mCrpgnVmmSLWtqnIetuMgbtPRxReZ97GHbdM3rzg0XvRdcJX2gLFMlC6En
ntUb3YXR5U4eaR+h5Tt2+lY/M90KrlTut4SU32mDC0f4/L5l2TIzuo+FiHyrdXPdynKZWColXXJZ
REYmbdhNsLrXeV/amBqlv3Cz9lw0aQ5SkQTROTaLsrKqLs5Oc+FSh+GyPfdMEpy8PN1zS8jvs7wr
A89/Pqz11x//dZcl8O/jcZ///svhrNd//2m5yYbsvBx/aVDGv7717yNDB+X36/zQkUp9OjD2FX37
24tvUsYYTqh4XRmfDSprVxcPRD91MfhSOkxkQSkKw26tSMClX7oYzSBmHjYfYdATTMBS/1TFJmzm
Cx/QknDMKOw8BUQ/VbEBVU9Ik8P+7NBFPkzHv0UVD/0P25p4OBEPkqoC4jU4VEeH4PylJsYuVV2U
M+PS7zVafiTCj5PUTrsEO76vVQz0kiTBheQR/ZJnZlssURPfII3aAtE4ccqgVYGtGHJNq+OmLE6S
rOxBA4BUWJUhQzqX0j1taNz4FnhCfXSTJdHnvEk+mNj/1jZE2YzSy85MC0dPjWDeszawvML/njHf
tAhKiQOHrfpWhzTQqNVSpGFkJyTqnIbKWx+7X3KR5v5ZBnq0c2I/8dpPUQySkQRVv6yNMsozx4dV
TTurOpVe6Fpnrjo/XAV64C6IGzdzpNLActM6/07C/ptXh6atzMS1cZ4uZBs0dpaEqyLUVkFQKKst
0++IluEy1kCiej35GHjaPbnI0+4i0yOnheFpW8R9ZLuxe4cLfpNkaC66ehn2N1iZH5tafja5N9fT
shAX/z8K4kuRAisNb+3rMvhyJ4d/u1JPVL+EEBqEhiMAERxaYMBmfLDgLyGEwtOwLzocLMVhJ4qh
YvwshTqkMvAggWjYfgLOQ4Bg6KcUDlOUsCA0IHDwpQY36qcm2tKV4Ak+/3nLIYLfGEkh7LAPJxmZ
kFUBD2voOH0phaqnWV5UVXuZNlTM68b1cyujIQNrw5r6xtSM7jRs6zSaIxSpryrT64+RLlvwX0Ra
fH7x9PZxA5n3MTfQKgV+HpxfDMffDnHCS270tMsj4Vf1JSlSfOlFfepaFctM325rlQmrbvTqK6tz
DaxrwlVhF2EZeZbbS6bbMNeSPgilwOsRvl85JI7xx97QOF52puFucKfhdvF7jgmowx2OwdeFsWZh
MNgRBo04DpgP2HbqkraG5zlm28cfa8hS0YViXWaAp9Li0AmYy62emV1gdRGiy6QuO+yUdaYe/FZK
bAdabjgSjiyvLZX4qLZYaUTe3MtC/zqqxGkihS8dcJPFJ+kXZ1HcGO08kJp5EZR+nSx/f1e7MMCW
zgjOMISTNmD+6/GmXzjJrNO8RgP/6zJVrviUeRwTS48IvBp5WrXXTVuK29zF8Zff/+zwrr30zeEc
TDgDlVHYhxhmiAkd2HrxswZqPT2XXnqZ8h5f4sivLlNZ2gF3/U+//yUQn51fEtBty2DaHCYp+Og9
y1O964vSzy55jvR10WRlvHQV74gV5f4cFVXc2xR1PLPB3WyS//TSDC/F9o3CiwIbR+mwQTpsJDT+
eQhzAt9Lk+CSgSe1TsLKWIPdAB6MPpFzs8wysDkA/bKJi4ZYRZSxjYqFPGlEp5+3Ji2RTZswi+wQ
3MWPtMwJdXzedZtcq3MHaX3CbENkerkyqNlX1u+f3rB96Jh/sP9kqIfDGdQQ628DhczKSA3D1S5w
5SbroFTSs7AWKXBPadel3mnjB9F3j4v8vO0Lf2FmehvYBNfsh2J9n9ngvjNbz8J6E5SUPdRG7rPT
3zOpGzsgU53CSzQU+aAfx2AjB8MseYBKX9GLUC9yV3BHCb9ftqqlYqHqqrLLtkA3ddIZleX7PrNL
nC4lKfNlrOfEjuIi+ZDHRtJaLG68z02YZCedVMrKjSL/aMqIO26RunaVhWFgBYqGEL2EMr1sck1e
FVpP556HRWhpvZsmNqn9ZGWYKv5AQu/a61LaWnHFikvlFneKJBp1zJrAgww6ArpBr/reQg0Pz2Pf
4F9dVOmnvsnxee+1tbAb5OsJ7JTdBScaL7vEajreO7gxNKcP2/tcFuq2QhrzrSaBeNaVRXWiu4Tc
FT5uoqXLNBxYvR+532FOoaytIC20b1XCEifPJTmJsjQ/wYWIH4I6N0HuaRLdBsJtmVUXundaumVl
d/Acllgn4qpoknauN2WxwLjF9TyGw449u248Xtg18d15ImnpVLm48l3NQw7GmVqBqSGNnaLQtLhi
8Zc2Qf4ZKUV+a1BlLCsRagQioKRfczMr5xK1Yb+oI+4ttLZFayLj5of08tywe6JQZaUeqb1Fq8IM
hKNp5p1XV3xRZq7vxIomqxS+asFBFWUGDzqpmRXKMNRs5jbMYpnRQqitYtemSkuTZWlGc0+vOnTT
UKw7gSxRbIXwJqkFVY2QS3C12nMz6vvYvamaQiWJ1QVxl5YPvusT0n+VjdayxLdECao8u4e4KVS0
hLOjqipHlypSSdSeiqAAT1FUyj1JyiDIrZDE2S1iGj0JO0oruwIMIBYtkGgBroRzJ3VdsIcqjppi
bkaNh+wyVti98gtksmwVQQjsO10bC3VuSkXhjWrcDMvGrsAWLkzND92rGkTH9OyC5xxeOBrJZJHG
QSmsuADj5c7bOjBtzYWGGcPqIDuhw9nZbpLYvqgad9HELE7m0gWvYGGkXtLbvDdAY6Yk0is78Ust
tmrZefJaBlqSzDMv4D+0qmYBclBG1DLQecUvDc313NOUMsWM0E5bWfTdSkLMUvrz3PNZMndl3RcL
Uco0WHSxmXQrJGWS2wbp4sBmrdHFyzIoAg2yGzr5rOVJjx1KzShx4D+kXcUh0iQ88jT9HCaJSE5o
KVQ8j3xlfugrReki1DKCz/zGlyy1mE98tXTLOk9vwRjT09DrSbSocuBgnqnY6+cct5AJ4WGXNxcJ
7+DV1kBUSsfFuDotqQFBtedSr3JYWgOcAZPgn6R9SPtNHMFx8A4HBhKHdolfnGAU6CsvYJFpkygq
qBNkgetALB4ZltaUubgO3SbUbRoUYW8ledhrZ8iN9QXOXQ9SCL5g+Rx3fp+d+AFuvHkkdL+xhu9Z
WAQihdfHo4XdNoHWW6oNtG8l7JTYaVYAckQucZ8GfWDxWtfoXRc3pLo0c9FlTioKdWFUKZgkSFxE
QCASCk/LDXycfu1xnPqnRZfE7UI2Rh+cYeWpOz0kxtpo3cS1OIaXd1GlLYMgzOwDYL7CYeLEtIik
zRt3HuCg+Bo3DXgWoRfWt9Iwm+956dNVzRpIPPEIsoVWyl1Yx4izsF2kZY0v+zan+o1UBr7DSoNv
NKYmua1wx1pIJyVhsCpbQpqTlHmSXAUaE59SVAwvZxgWcsli6cvrttMVt1HRADZ+kwJjmQSlewYW
THyCFCW83QloyXII/9rsREnhkuuwrKLoA+Gp0E9aPWyqC9Wqwfn0u/baiDSznWdNAj+dZX1fWy1J
VL9EERtufmC9Af0EfOUJvtSNFO6iKgx4VH6URb0tohpEJ4+9KLhJSwYiX1bgFXhwDXQqUal/VWC9
K1OL5pCCPPGbsq0uEs3PpRWgqmgXLYwF03lXF2RQGiBMNtwRKJBW4MFPhtTeJxcOBjjldRBwi/tG
BO9F55nrJqXARluG3QeqWiTPPHBzw7MsT6PwloO1WMoU4ctCeMVXmGAyC8vX/YCcZtwT1ZnrZ17t
dCUrGnBwO7rMCTxWG7Giu4/iyLhuK4myVYG6OvrcmIknV4mrJT+6Xgw6JChi34E4gNN5QDpfLnIz
EZ815CaLpMm9wmI6qLmubCDTlyl5JpIoNByDlMQDtQeHyVm1T8SnMtRqbx6TFMSkh9BYnOhphotN
Agq5O4VtlkE2mkFjz0NDgyfaQlZ3DkamKc5wWRHTdkWsarC0tEbgehfht1LU4k6DZCs+7YUq8YOS
aSetBGNWnwQNgaXaBPu9rTee6Z3kAEtja5EwF31W1+qi7Vh8G9aysDiTKz1pa2PVNyaAEyEs+2Ue
R1l2kZqtfq4ppGdzv0iT+szrmty3uSET/w48EfmARApqBFSnrK3Il420RFPzAqxAV9zGXoGDLzjr
Ka+tHjyw7mOuqCZgMemWc59pEaRJ3bz57ntIq+2YSTM6CQTCN63U3H5ZVoUM5kFfwUsaEBXS6zaK
e+MyMfM4toq8RuaFjn29tTvwbuS88XNAreFp4FllD2k+i0sZz3FL29KpY8LLZc8LePsjvfWY07kd
krabS7P43Bgdvgv9Et41sHTiE7zribxORYpBwZJchAue+GZjtdVXwquGYyuKavbRIGnROI3hKf1C
d2NefyhcKUow7vBGz/OAApoQOHTteUBVlJ2zMvfpNWlRbJ64bSbgvtpW8y6iUssbJ5Eu6Azwxip1
Eccu8F+KyFtIn0e+07QInXSFDnLfmSYLLN312WFyJBfBfZnJ7IcaZytfJiv/9d+X0kQQPv8mnfJ4
uM3LBMxTVWqg+plOgfoSg1man9UgCk7/r3QKbGMC3R8cDiIzoEVgOCPyZ1ITEqEwTgsJE3BYHgc3
/p1O4bPh2BvIi8FbD3vtw07Mb0inEMiBbodGUF+C/Qd1zGDnHOhFGU6ZfRnDto3rgSlw9auoz1l3
0ptZQr/XPlXuFagZmiQXGri1K+6y2NYq/7bTPd2KTD13UlIhC7tmYEHUF80roXRHGglaoSYKHd7S
0q7qbI273rMrI1j3hWydhEJaoJTmWZx4oOXd8DosQLY8V83zROpWzUG+edejVSBM6UQVdsEFjmqr
0ZJ67pcqdnxTnVVpLizMgs81Nm8Cmi7NOCntrHXSul9C4rGxapQgKwqzm95rPmVmdiJ1aVhBnIHr
ojTPFqBxrKDs1yIsb0yzQLBfLTEtEZNrglR8Uel9tgCjnjqQ9szAny5+UNdbV2Gl7ERjc9VtmpYY
DsQU81qjngPJ4IuW6J/z1Muh8tXkK11CFFXSJrejHPsWzTTIqXAB5Ye6PaN9EM5J2W8q7i6qrD7D
olliBg5Kni0llfMS3H4S4ho85zyyy5pulIAgr3F7SyCL9PQ87fpVb0AwUHluaflM2XUS3PEqTp04
zlcJ5GPaLLyLheYold7kJTqDPLUNWgRskZHc1ABpleiQP2iDMl0qDepy3MxPsZF8T6Uf25AFOke1
OAfPMLX12E3NU05JeYNblLvfwjL2yFzSzEtvtF51+TLBaWd5KEJfuj4UmWXW0T3UXBetXzagrqt7
If0FnPjj2Q2Hy0HVbAodSzuUrbCSul2pzr/UU5dDravtFoXyfzSaWVoh776aSNypvr3BNf4G+YNT
lPVfgzoUtmlIOmee/hCQ9rRBXvct9qFyGKgcInaa2ryGaNFAxSo0yhswmytWcu0c4ti7LoDbyuOq
sDyPX7mtDGzu9z90w3AqX0WWEZlirswOrXr2A4eZDk6g+lQr8ACSXCdODB5p5Am6NLQAAkwI1XNs
OCXkymwt8++9qOjtuOr6BW/C3A47b0k0+TVoslUGYmOnPG0t8MitnMl+rrw0tzBYu7bRXZuXGpTE
tC+lQqdmTrETkvCj4foe+POEWdLtLJBmB+zXKmYRs02VnaaGbCwfoo2q4Iblm9EP6aurPNHXtXTP
zbgPragLLyHTc5ZTv7bMTJylEBpZhNLaDsE1Kf3At0JVN8uiBbOnfIotIqB7LuJfe5bNk9g4QdL7
SiOa3/aa6VuazyEpQIyPTPNvW6JZSDRfCl+HuqEvTvq2OHM9np+5mfxitu4Skmm3mmme+JRfaULe
+Mjc5Hp/mSTlKsrg3ezNrndynFYOZBY+1HW2jMAZ86pgWYa+mEetSC2QHvObrOWJT8Lqg8trH5IB
8SJpmzNTyWj+qNGfWxqun7JcTyX5l1W1Lbt1nNU6SPK9btp+7s69a9ww0P0ybnTokECDOTIF7JUI
xuOXcYNaATZgXBy2VxysC+RGf9YKYOMAE0ze0FUFI4l4KOY91wqg0x0aJyBFN6wKR55D8eENxm2c
9YOEPIV5x2G4DYwrmNJt06aqrikgT9JcV+jUC0EAP2TyPySeYeRiy37CXcBxKAzaOIdTbyCbNYzH
v7SfWCtpGEYyv6aNCJG0dENG0LdASUqvfVQWtVNALTC66bPA5JdD2u5L6TES3XBkdLaPkpacEjO3
JcRthQ9eoRvPTQq1vQB3VtVTu+viaxeyZHGmQTZPrLQiu1Uo96zOx/O+YB/aQK7AuU5A9iHoDBR2
DL04Be/xSuPR97iL1prrQi4rPwnj8EtXh9juA//KU3LOSXzCfPD5cVv+KCsGXn7QOHGhMzCiEN9p
CY4tiDpWRQ02qGLhR8ZXBZU23N4Xz0Qn4O2HFsX5adGmmxhy/pbb6lbeJRs3R5nFkxxaN1DLrUKW
C1C1565ijcPTklplQyJQfeh7K9NTqmuJg/X0rsbeKWT9PpatH1skUJ+jpJO23zX30tRPO71MF0WY
X6R+2ziiYNQxAtew3ay8hemMEqKvTM29jl4kXlraStKbuAFz09fVFy2ki76BMAiOv0gsTtSPkBWx
zQOSQW9Ddp1m+hlrSn2e60VgxVERrkxI8FsQoECTRVil8yAnoKJrHll63n/GkF2lAKeVVdoHo9FS
KyHxXZOI3BI8+qoVpW4RaO6AcDa8jFWDbV+LTqUG0RHChW5h7p176p6G2UJUph0kDbH1tpBQDk0/
u32t227BUyfz8GnJq9JRNVv2zLjPg7aB5Gl5VjH9nkPc5fAw+METVtseNDc4hRJ3XmH+0KEWi4pg
ExRGY2MZrnxSQmNQy+3MS65rIr/jMIRcnK40i0bpSRxAFkqv1SLgkK6raFjb+v+wd2bNceNYFv5F
7OC+PDaXXLVL1uIXhmzJIAECIAFwAX/9HLraHrk9XR01z/VSUVV2KpVJErj3nO9caDNXoeNmRSTG
mzFzPk1k1IXTGazgjaq8sLknixlKmZCxEHVQdaFS1USSapW4fllK733sLWzCdrNk0xNz1zhvbfyN
0uxz5DEJNcMPdsECrMSpG3YpeKcKQtu+wLryiaBlFGEECoYF16RLkrKRkIu8Zfk80Q53zzyMVTrj
+0iS9YXF9UM8uTSfqHgPvTneTcr9xEj3SbfCzxcnbcuJmEueON+Mk744qQ3zmDUFaH09lEuN5qtK
UAD7lQksO/Y+7v5qDtVQH3p8G9maecNDROY1r2OGuzzr2CeYY9kxWhd6EwfzwzD4B2ft37kWR1BI
Xd7J/g1yBpzwpCXVaNJ2x2aUr6qlT2Foyi6uu0LHjyKrlr1tLL3gEiKc49ypkWYQyWk3tGXNUQtO
c3p2kkWWEJxlobsoylfcvyTo94sMLlHd8iJRzt5JdNHj2cyDpr/SMnlu0ui9dWGAYi8c8nD1drzr
i6mxZ7i2r84ynmfTnng0vpAxpNuac6eEV9Heu5NecJw9587apIwd8uiz+EWnUSk995zN5Aam7w2E
wctVm906wsTP7Ns4QU1tEloybVgF7aRgg58nWhnUcdFO9dNVglpCDazLg3UtgXjNwLsWSMmpk9eO
c22NeuRtxqra10D1mp0/LE+Ofo9G3IlTnOyCkCa8qFG88DyrZ1RxdLSOU7mTTR4TMi37YVB+Qcni
F1Ham/6KBcEzl6FzD3unSiYBEbqjWLdyJsPeApFag72xUhVphz46DfgjG/ROmfl5nrtHPTgvLlfB
rTtG6w02vGGnuuF18L1jo4K3pU6vIQVfZV1GSsHTFpUjdN12mNLCoV274yvPHkKor5eEN/ctIV+o
r5xiZmN3VqtN0PqYAJ/HtUVomhfh4yrOzUPbSlpmgXMaJ/08QjW5T52A72pH67zH75dPLfYeSHFY
A0ani0s99uu1Y1LnIaaBLa3N5oooGQk85fqpzvRYhiaBqSPGtBw6U4bxNB0mz8z72ldwIbi0+1m4
TTF16K+IYS0ediB4c5d5B80myIbmTodNMcTenk7hlEun/trCf8/X2HvoI/msvOWeRCo+ZuH4LLNZ
5iFZ66sPtci/arKPFMCvfu/3TXcbvL3tuD7a5w2//Ljpxt3Y4xSrYbyR6VzF3jVNH2L81hFMFRo+
/fl7/VpFbO8FmgGmp4cWHonbZDPUP5i8WsvF+LOeb9K6qtnjYHeN81/c3f/2Ftuff3gLtM9dN4/d
fNPjwbROkjfT57C//398DjiLkFUxjg1sx69vohvGwEPO802gHgZ5sThXznT887f4/bLgq/rwFvGv
b2FGSKxeuMw3YXrPh93K0dTP1yJ5pfa/vNOvVum/LsqHd9p+kw/fWNdMEY8NPsxg19wTcdH4p5Ff
zlM18dPK1/zPP9j2i/+v//3H28F+jwAZYFZ0tNEtH9/OELqsynjzTTc8ewb+avxAmrPlz9/f5u9e
Ywsz/ude4+dh5783G9sLfzYbaA62nE0c4zLgH6jEfzYbOFYyw4xJMNm4t8EH/mw2NlJ7O2vFhfMP
cCHe9K8fYBKGEyJWG6IHAReANHX8V5oNIE2/3CQgtVNIchh1GAMQxOHiyb8xGoKk09RNqbx23Y4c
IGntGwLFBwIQSrXJFvPo64tl9OU+cLHdZMt4I2gIbkPwLyr0ZakdfehsE1VZoGxB5jjAatYMxdiE
a06d2S8brO0oVuO1hEDCbwaSPTUReNZJBUGxuOsZ9tOFisJDKjO4Dk6zH2z/VKdEFuuQXq7KmiqR
bDqMnTkRTgfo3tFpTVuekzC5jP3wE4n6MTdtepvNCSuFam+Nq17xaEBJicjjxKM+n0GDwP9Excmm
9TIWydNSwybzsMlmnXyKl+mcMe9iTroHJ+KXBmJYAUfkk1C1mzsenO16PidreCcE3XnEefHbpSAD
2Rl3SAqt+os+kc9goK+ChtO8iZb9tEQC5HH4arpU52LpoD0kpmrjtUE92HVloBZglfVgqzQVYzVN
kwXcwK8VVDo47cFBNn6bL/N4NXfTmJN19vbYzXY0Hu4WNtEiYp4oHH+9Cer4q2/6BzbaHWR9ngdE
3CxhvLMNP7ZwyfI60TfxmHxqhpqgXbDPcasBVMxRD2g4ZEUnWrkLWquhkSZ7o9ZbtYhk5zXdafG6
92blcFmM/ylulAdXyK8LaDHXdEr8q65ODktK7oersDnGI92IinNssc0jprRrkwn76QAHxKwUVaqZ
4Iikz00ck3wcUOR2st17XIiccfmVJbEsqbE09wdv16XwN1xSWWMPLbpAgNn0i1LBOxrb91m65ECG
8GrzhpZpQHfpTryitgsfwa/DBrcpiri6LaQYUCvGxy7yYLg2O5UStvPgxVd2Qbnlk9ju07GXSS6i
0VTz5Ny2/fyWrWxW2KBbWqAp3q9DqPPEDKfQGfxiCPtDFktQr35N4aEmaRmG6cF3iNhLtbzCJX5o
XZTAmleucQuCWxf3UfYkgykomsFM99ARh6rNyFKxZLS4EYDHeOvoVVBP0aFG3V02gXbz6yAHy3QU
WXxRT9rLOVO07AjFc5F0aCZQ9e6CQfp5jCd95yAIULiwm87WF7e103wNyBY7qPldqkI338imYw9l
OW+wGRXOOlY6lB000PVaSjwplC/LVojf1El00XDXLXuXouug+AJF/NkY76TlbRuGfa5UepOmvD4u
sbxagNrmk5lPmS/fQt31+WDpKw95XyVMs9JZHFb2K+6POUJ1HQ4RAbjr7ANbgMr1SfA2qQtKj1rO
VSsHC6Udt8HE61e7eb2+HS7rlXm5CFAS9+FBeA3iBEPz6BD2zkY8Mr6QuLf7aKczgMoOR1cLeAme
WfcAhuhbNsm5IAvuu6BL9qEUQHRRW+dOv5p8IoO4cPwluvQEf3BaPlwtEzx5UDO0SrK1Lpd1coqx
rmVBFHSCZp4uJ8XSHFADzbusvW8U7uYoJN5RdbSpwhpXHE49eDe73sq6j3NvhTqp+bQWvXXuArD7
pYt3ypt1QDM5xSB1GKt3k0UaRQ4mPDS4XlPYnBjAlnwMhlseBmfQz/du7T7UUStLz59ONarOCn0J
yGotlaLX/eKpZ5ZBXK1iLWJa6JGex3Gia2GmgPu7dq5FOdBWv6QZacKLv2uCP6JbqNn+c01wjwHu
/PX3giDEq34WBJhntOUFAOVj8BEyuB8KgmCDjrHfg8wMY7QIHwsCXMHt3B4sxcBbth/4oyBI/+Fi
0AZ+VhjjpEQA0H+lIAi/U5G/VI2QBWGrYWFGhZEm27ETH6tGJlDOM5e61/73uEm0JU8A+4xfFcUG
FbIld3nNDk5t0MB62WNtIGXXqhlKxBm+GN7dJ3zOwPX7JcK9bl737ZfRcY96Gi6YQzcTR9EcbWZZ
x9BtWOB9hr5FgATO+syH4ThMpIDPdA1C7Mib7FIzm3tKZ3jyKDg3u0L50ulBwIlaZ6dMAlOaOZaF
dNYbFo91ATXwzg/MS9YmDjZIcWuZ4yFY4zw4TasQS6I6H9p2R2oYevS5a+1n8F1owiJ6pxV1cwU9
y+PRmQNpqegq9lZK/9Ltw+umXUMIYeF5jfqrSYznVNdvfTafWz/+7NuY3UIMg6Ql6ssZTXFOfOdl
VlGlccTHqwITlM/gGVetHlvffSMJBTjYAx2Ku+7TkjhvYzThg3TZgbH00nakqTx8htpll+3av2oq
9W6qWVvN1gAT84doL6IaDnwz5Crln5Cku9bj/BldhsxZ4l8s6bA3IRSrjHMBm9LbpZrshzq6Zn4f
5NG8HsbZcwtwIo80znbjHKEdafauSadCp/RWcDcsJrFcpHq9mHXqVnPdP7dNFIA4HGiO4NLjoG0C
jMA8R+t8npFHyo3m32SqLlHckouGkasMMEspTFzNGk6kZ/yDrjOV64E8+J06un0DFysx2WmOx77y
4+ZNkOSe1HY/snmpuOQnC4IMC6DzvoT9eY3FLqbmCf/vIGSk8nBK00r6LfY0am6Ept1FtvCH+EJ6
UGwyAJcxnqeyCYApJqP+xj1Ya4nax8ioFWZUZIe/CNB2qHo58txl05RPjr73JrWnEXsJrbfPCCJc
fRqdNU2ywkgZlkLw25E2cP0024Vm7QpE+SrbJH0eBllasFVdQnHT2FLhFfsAd3wizywKd102rjlD
fDFk84k2hhaNslcqw3cf1mezRiaH9JfYryOR6qkRBugxyXgKA0wkd34Pn4LkqeLOrdtnwx04QN7t
vaXdmcDdMaeJ89GvvzGyvNdR5haN7MCADskpEcujjtUXw+Ag9lLeIuW2dxp26/XdETt5VKDtKPsl
AZOdTGXbuWqXRubKC7oQH66vhiSB9LrQgzRLWDV1OMN+TtYCFA4v+paXRi67ILavS+yXA0TPFM6o
m9lPuNAN0kbwA1rnQgzNvmEOShoYrsyDetqVmVMfKLc7lgqSL2mf23A9Bb158gZVNpElpQ+vYOKA
KYOWXiTtwArD/Dxbkv2cxSD3OC7Io0Fwxy7jbkxnWMvjsQUAmTOBOpJr6HbZM4f1kWvVXEx95pXr
0Ga7hcdjvjJxyJAvDUz2Vc8hHgJb2AXsH0OcMujtZTjS46yCHpq5q87+POPaRhD/xsOo1ddRTdd0
SUtNwwe3JRD5rLpYUc7CXRFVyPAUummTD4uX7Tzm3kdj/T7ESF9mEz+ajKSFTqaDR5KlcIboEAb8
pnbX6dz0bU7bCDRZOxVNOF7OiTgvDsplzroiJOlLF6D5idPDCDJcWXefJeNNG09Prt8f63DZQV9O
KkbR1zSLcPI+lncBwIeiXdV16KJqJvTQYQHs2+mqjlcILTIffHNb+4AtB3iuQ7Qp4bZcV38Xx6oK
HA/8nZ5KLcWKVTjYZZE5uwKmsQihOaNqGnr3S1drPzf++Dlo066YYaofvYTcbH57T8itt6YXWWqn
Yl2ddhev88mNWZHIuQF6QGjFnTY7BiRCJKxZboLO2bHO3vhZ+i3w153gfaljU2kY4zvEtkQxOwYq
bH9jkvTT0o5NwaMIZB6PIFMD+H1mQW1L0k/fqB7PzeI+dqM4UiMvmgzYF9Ttu3H1S79V3yJiq3H0
+qtmWeDcrJ+Y5695NLFHrMCVFtGtcmqJgjl7gdP/tAzLeebIbWig3UXQb6QkGGtGimaJrslMzqEx
WMZDe6yHDKFbDx1feIi1Zo9T58ys9Bzh7YAjzEW6pFXntkc/Qh4VKbq1XGTzFk7BWNoJqIhW3mu2
rtee4kGFcoGUxPd2i4JPXgfDt8QgwZoZdmnaBMulXQTch/ZJUv9Gcv8uZAIVugzzpdFfo9QvjZud
Esde63g5rj7WL5V4YLwj8WmxzmO/yIeuheMFerGEy+bB+Z+vJxYDyFvT+1UgFdwBLrlVhrZV1CX0
EAoXYdt64kvBvWBqzh/qqf9DQ/V/FbWgVyASAevSjyPQii7mi/1anugBxqnNguzau+f5c7SbboYC
6GeRvT7c6Ut5aitZmEN7Ee3nsjnIXXOKyIFeNvu/C1wUuNuJGB8uyG+zCf7ZIdz79luF+8fLfla4
m1WOVF0KHDwNg+0S/ZS8UPwmMGggSPoYOLDJuT/gMRyEhsozQM4FEBmqWPzRjwoX02AhYqYJlBJU
phty9hf8daCi/y55JXDWUSt7CXB1F2MUfr2F0oUM2Zg24zUFbnNKuyy8VGI5p6IbimhUjzFHPp8a
hsoi6db3RsJJuR0t+vNhRZkC4eY2a3qRG2ZvDQlPUnO5GzqIKd5qkSljnrNvETWH4drsCGzEI4IL
6P/7OsyBlpKmyKZB7HgCa/nekv4la6zMHXj1EBcWaA29r8PTtDjrKerF0tSFTW17GjtWWr92DsZR
30gmVsTZ3HpvPYlgjceyYzeS6bHHPPyz38bsMg0EciPtfT+ila9Sbt1d721uonLcMpkyuLTBiucX
D3juxxlQUy87s0SZakC8PTK+2UVLf5VGsEGnQGa7qVsXGJ4GtFcj5oOa9ZWnUZcbMbyomVxguEHV
uLb0NYrlkJznFRWwoVDmWjj9MMpSqIl6rASucE5qB+qFMuRbPcv4M9Crqd4N0dDkyNMg6tBo75Cp
8Q4m6n1KXTEe+7hxzG3rieGAREyBCiI+DJHV4j7GKgaUbKyTKQ+SOtwH3gypKKqjb6we5+M2MW0/
orEuVy5uLNVXIAFPomuuBtc/p8bZST2fHB6XcgWmOohtZEMRtf3bLPy71mQvfy8e37tj90/pnH92
fSvef++Ot1f9WDsQpsec9yDGWBO0n1gjPqwdUNIThHvR/X5P62Kh+rF2gC5F3xy44HYQqv9FLk9x
3DFaaRy7h/NSsbL8tRzvb2k37Ik+EpvBBs2ged80+4/dMVHJTGmQdteON7yQFsjmOnZfPBsdOyiY
OcXOqNVYJRF6iCnZreh/MjtczSnmQtQzhyjVgnkZiYONdvR3JHJ3rgzu53byqzSRYzERe+GaGsb1
ZqmD3GtTvy86r7toIhjnkwN2julXHgPyGL3wrUbPU/QOJwWJlvOSTm+gT4ciZXgQsQpXsZ2i3LMo
01y4reD8ogUAHpqwZMzGIrQukvBS2J2QKK0sIEKfdOdxiQJUheYZs1VQcgj7Jt34hIhnj4oexB+Z
NMs55nFEDWKPIsluQBk8TfVK8JS3AIkaZ867xOA/Y9oWK+l9CLekhhaLgs7sbCLrfAAUD9ZkeVwb
cmlQ0/Z1f27wmXJpW4Ua27+bWwb4gfCKCf+y9vyH2nYG6xA6NJxXjxCvnpATZPArwjA48MC2RZ32
T2kEnzp2Lfq1IpqGltwbn/afkUR5tGs4n02qr/vA6H3nzYibDerzQhA3EGyP0Sgo18cIevWMNXkM
aj9v6vSyIf5jMOgAQ14AKOH0t4qxcS39aCXVmiHpQVQG+1uOd4HTvEVdLfdIvRQesixnGb+a5RWB
H0xviV+1DeR+VO6+GzWpFCo8+Zh5jbjvXOgu7y1Z3+aluVsDF8vjd0WaqSZNX5VHr2rc30eMMnAP
MHflta/q7DrktT5ZzKEJM6yscxIfjIJo6jZui2Yhs1cBXQEHtJLPe+QFn2Yxl0kL+iFY5DsyBP7B
lSSDfBCDIv3DgPzbGdyg9/+sAl6+q6/vb7+vc9urfqxzPhazCBDehxXrZ42EwywQmEaWFm5c/JFB
xNnPMYomTCOAY7gNLMAS+KNGiv8BTxDj3rAMAuvbppD8hRrJ/73MxugDGGdAWzMMCADU/+s6Fzj+
DAKIsWvPDY06YdBO7xbtxEPnKZWYWVDxWHELaJcOtx4st9Hnx1Xxw3I8ujXdC/EdkgKWmz4iuIVk
azs9AFVQZ3fpZPNcw5vGwBzBcotltkBg5Noy8PcR5ebQ+xEobgwQkcxeL043Qb/xX2vsDQWGfZx7
d71BoqfBYqIe0QfvAXCs6PaxkLjzW9wnd30AtQOZlf5AFnQIYypBtWeo1ei3SSq/4pTHucF0PBj9
hn2qQZY5YQBl3LWmYIt3ncr6duZo1GJEQg8kXrfkVnqY4m0dY/Ohjv2XsIdJMksLUZSib5JymKos
CukBId6uylSSFpGs44oPzfPIBlOKqGd7wmqWr70Lv6YR2+ClwIEbEpvm0OiauGibvSTIfbRk+dI5
3QGDnTb9gUZ77Xnd2R0EuUtMsjzFkyK5TAANYH5JdI1dwi+I13pX1obgGkP/phESEUONyiseEoME
J9W7RiJNBUcFb+3TFHDNYA7CDzDPpQFvbidvQX6RYUWhnoJ1NJrgnPYKRi7PLIRDjeKrPYWJE3vH
jGmH7fx5GxOFkveLNwQYwDVuTi9FvwW3cqxTWhoGxFN4dANqdi74/ZBmakYmTsJiUuy9k+MTxLML
6bqk5AkWKYMxWkkUXWJFvdQOOMeGt2XUd3dLI069r158h13Qud00Cv4QkGauDEYphf1w45PkSvAF
u1tjEnYTUdvCFoHdRq941ND1EsN6UNyxuWI9RsAE4VQfmW2OI4eDB5ROwBvz04qv5OuKNGdeu1BC
MFaJ7yRXfR5loilCFX2FI6jg87iswJApXQbNUo2eKRNuP4EsXEpMoYnKdoI/ay1k1roOr0w88xL0
rDw4BIEoF9NhlhZ/k+LnNl5WJRaJNObCL+6ijCHqG05A69qpdBf3Kolmt2IqwlyLnumT65pz3C4I
WUSdX7WdBsHO/c/x4rG8tvIeenoL9WnOQGfpBIMNEI9uQddvDRjMquSd1+Stk9Bk8HQVhlpAbg69
wbiBGfeAX3numBSjtsgUe9DqhZyzXYpbH8I3UDEXRXtZR4a0uUMkJqm1FO78SWgjH/6uk/+ok/+0
yd5370L8vn18Py349ef8vxSHzHp/9MPglz6UyT6KYbTdSEdFgIK3yVI/yuTsH0hlIWGRYWV3MXMK
f/Rj+8hwyAYO0MJiD9bqO4vyF7YPL8ZP+oAeQaXZ/C033gaDp2H4HW35WCYjw5n4y5hm1z5XFsaK
t/Z79T1zEzii8auowZL/Gd4sxvd9T+jwLayzIrUT0+xCCTwBPWdf2CBPdkDM3TdkZ8MQZnsfdMuW
T1qPYgmGapyyW5bO37aUIUDS9DUbfcCkWAt1W5II06xIv09FcLX0zsFpuy+RWoIiofKC0PmW+S3F
NqRKouIDRKeDS2mPZWku2kwivk3tHkfEXvmrW8KvGfO5ibrd6NqDhS+QC8f7QrmXw/GJjipNnvsw
wSY4f0XTfonEVIfRc0gfvWQw6w3gW0y0kO/KpiVDYD6nmbE5ciLD9eo4uwUtLmZXeIfByPPEuqmY
DaBgFjgKnGUijm6Q4tMKtO5ark9cT5eY3rKhtpBYFQtV5bcBIsP+ngYj2SkG/NsDsl/R2XtNmTrD
fwfUHyYqh17wwpf680jpPfaIa2Ro8STzOtpxjVZDuOI4t0mCJUMvmDfCo9KdN2aSp3LfN1MAahMz
ClCfXPTU3vKIHTUomBy5ljfLMWTQhQacYx7EY9qFHjAU+4rMHeYtet434zsnbxqPs7EXVKFRqDMD
gx/++SGbx/lCosotbeg4WIcNtPPunTtifsb1PJvo88oRk0W3AzcfSBuFWlzfz5oaUDqM6tLzsqGB
gS/GFbMiGYFX06HWgOduWAYvn0TJsdNpCE8QDlebpgpjCyEFXWK3bU4Jk9PeR0z8iO+ld6vQbfs9
Sv/svoaGkBWd9RaRD3KND1Nkw32vorCD+Ann0rMbNp4I5V8kXTeiQIIW76wIlP29HP6xHEKB+8/l
9D/565tU/8d6iFd9LKcTHA8XpSEyM5EH1fhDOQ0tYcvu/LvimP4DJ7C7OEByO4MCI5GwiP5YDnGE
u4cD5zC5CGzc9xr8LyyHkC3+fTlEYChzk8SDe4/wbPhviKnso5VFttbXbhc8MMAbvoa7HOpbtoDz
mTe+A7XfzL3wQK2lJd8YkHqjQcwy1rk79EOe2HksMVTizg3XtWh6yPuwmONcrx5gtw2nyfCzRCKb
qgMPdMyI8vO+6e7VRqesQqZ48pdLZwC5wgWiffNGszhLVJcoKGnVTQjCgR0frlzgLzgCPbpMplVc
UH8bZBr7yBvW6Fj9DZzRUAvTjaWJMT81X5V4aEQKKXEDblyljwMInBqjXysN4wTxFv6O+USPmO3i
bLG7gwS/g+fDy+tBX64b2rNG5AtoR/jJ0WgLDFethDpS78LbmKDmVQUFDLKDlDUp52nErKYNIkos
60rRLaz0V91XPVijeYVqshj1NoJC8gwGnWYuPpBCnQef6AaUMlxFUTnrxQiIaQnTzxGgJkwWDFEv
RW6ZAXhSmFjbbgQUPGVMaUM7wGK10VFj5aUuLkmQ6NwQoo/JRlNhYsudv/FVGUCrBcCVFikGNmwM
Vus13s7fuCw4e6j4YyhDfY2sT7fxWzWbvVy56YUPtMuObZhjvGdJUwGyT6OD3ziwIYChlGpoz3GG
2T8xBj5UZCPHiHHB3gMmI46kucRaNbj0pFnyEGbrq7cxaNyy3EBFoFOTlRJLG/ZOOLA9sLXZnfwi
BsiGmcAa12/YZwGnBas94d70oRH3aQ2mMVUbsi+v11ABl5/l0Z+cLT3xmklU34oSgYyL9wyL8FJh
Zk3ppCGGsM3BO4DF9ymxdqcNer9Bp/UhWaIvHI9oDpQChS4EaiBI433kE1AfqXuaKH3p1+y8Dh6k
V9ns5excDCifc+2CITSk9nLJauwjWl8ZuuLxmR4aUn8ZGqS7RIDBPdTh9/UaYJCqj54iSI7ousgh
jWAKWeBt0sYc+IM4xiT6pBq3OU1GxEhbr/f4mfMFdvEJczykRKo1VsX3mS2TwvAdL9su3gJKDTtO
XHp1+KQlBb+6jmOutRAn7Y+YBuxg02xsO+QYqWuKddHymbg1OYimUTc0jrJ8DpDYERYUxsgfUx+e
HUFQZEG4DaNnZYsL1Iuq7gDa6Ja1eNqNf9TthhjSuCmVPx7dNXWPQ9ocE6/u9jF+l3yIA+Rqt6c0
xagH7IdrLgdxCA0IBycuMVMY5T0FYNB3wGDWKDQFRroscNebpMyILk3oYSgP/sUJoxtKshzO7idv
oedIjScZICISqvspQUe3ar5vHHSwgiPQLZh3NS3jpxZZjRwI8A0Px1uG4HrKlkvN12ddI57LMFIw
55I+xpN/Chf3YLV+MCmiPsMo3BwdVgCAYLlgGhkXV8kdt2BlfbVc1iq4ZcJ21TJ7VeL3J38cRW71
iLBz/bkl3jVmmyEP0N8MNIHkOekvdR0t+cjW566BWBcOgEIwd+az5gnmUQCvhBvdP8gmhH/ey2rq
cNdg9p5lj8FII8wLjQUQ542laySmRm103d9b+PctPPhTRez+9auCcSjMz+NB/3es+fbKn9u4hxPA
oNZD508icOm/buPg4tBW/OtP8KofbQ328SDGcE8kvmHoofH4uI//MSYCvgBwGzRFf0kV2xqkX9ua
JIGVsLkQbogn6rs78CHAgXSh0Ktc5uulS90iHNt+B4ubVlvQjieL2UESwX23ROH0gkF25x4jAvY4
gyHZ8Gdo0xjWVdYi9e4IiSsnhUnArUAO3m0xccqsr1Htr1cYU/YOikpXCcXco76r74PRiS/FBHrc
Tkhx9UCdr5D9qShpHg3kj9nF5K42S0/c4BFT3je22Me54ackZNfD/7B3ZsuNG1nXfZX/BeDAPNyC
4CSKpObpBiFVSUBinhPA0/8LstutKrvt8Hft6OiLDruaJYpE5tln77WzBn+3vvNEnPheAipN5EYV
JJnGyT0ZWTCqZrsCMhTjU7HfE8e8l7bykg7KO06wOnDCKQdtNY3oAPn3Op8w06jKqVOHPkAkWhxt
EmuZZ79NMWxcz7I1CDjo8kPfiaCfyoc4L691O1qDl0s5tEno1n03kPHa9tExEnu7Mm7q1j4yCb7P
hOOm4srWwMggD52wPG/IKT7mNTKKHn6LC+tuACnAhu5jgmOJQUm/hsw3+W4/q4Q42/tS6XR/6juQ
AlmcQarLRmxqPHkbe7rNo84KOkeaO7xsycrICISyXHT8uSTUAOGc/U2YeGulg+NhcnykMT5pqIFb
pK3kxtIyPRiBx/nJROpQE9YQWKViHAkGCvB2knCBS7B4Vhpi22MGVr5Ut/3Y7oGtiKAxOrHBRWTt
+s+nThEpTnTU2zl/TFpLAQyXIwCuMuzBo2Hj1ABNvC4s94OM8m6Mh3PcNSmBt7Zzjl0IMOulgQv2
Pc9KRwk8Dd+gMLVwY7WkyxyVeEI7s+SJ9KnYVKYsj/msi3tXug9NJ8YdRq+XVDBNW0MlzhKwWKBU
fbPRJ/fOK+TeyC3GnLDfZqDIdsxv90ofakGvSmM9htgiB2BbN9i7uZy2enFuCw92O++lwXQ6stO+
4xPgrJiKAXzW2XgFFI30di8ror7DW6ur9sFJ9WFlJ/E7rJFxNbOPwg+vnRQU2M5XeyY0xdJWjtf1
u6YPm53e2Nltbdcw30unuEv1qQsqTZD9M3mwu1hBO1thJ8eZFxEBHG0k5j5UyNEviP6unM6A48MV
KGz8KQvI3xI6CyHQWJtJhPZFN6mvcNhXdcwxNpkkepdKgDKqkiBim+Lro6nsFcWTL2kiJci5OgyE
2xVQNMr0W2pYhGF6WRNydS9SGY+7YaaSoOm82QyamaIDrgHNNbDD8DKODPfoDtOpZQDhCFQmvE+C
byYoDjhj7hh0etEeFRfDa4thzE+BJ67/PY8+zyP1L88jWITdny2ifzqKMJyAEFYNypLsr0eRziJ6
kd74DxAJnfPmt6MIEgTDpIf28evYaH9Z0Hi/LOxitjbsfJbujX+0oPls+Pj5KNLYdFPkwXCL9fun
kXKoxhYoZGyc29FUuWwOezmZdaAlBpACu96Uht4zzk2PDtCdoI3Mb43hXnbcdQJr4b4lIz6JrokP
HSkaH9EHYpLa+O5c9cHYDqexWR6AHvnasuzfJq94jsmCAyO8YRuxLabuQjf0m7pi5kzqqfe9Sm/R
ePTLIgeryHPtvk29cpV5LHRmGd7PZfJogZvk/j+PK3vMz1ZknDVprz1EPier9ylx5v08hACYUt0l
6j2yLZnXult9YKS56WVkXRTk0ygveHPF5Hvt/DBivfFTnYSFAdrRt828wKkZrtSRVbpTxQ9S619S
AhSrOI13eo/CX7VoYHls4FLm/r8SlXFK8/oiS03Dl03zUQ8xkp5ScoPP3LNA91/JqD4nPCQvRior
Nr1gCnXyMoUUR5OFp0YhX2F6KxiBAAXU5vzh0iNxGkzn2yx4c6swj691IG1+3DbvMWaVY1Jme8tT
uJTq1bSNi9Y9tzyJifNIfmtE5/wm6qJVCh4GcGPByibR7K0YWPrbzYA5dHSiazUytO1cJZFfRyJj
qMcRDJIVRFFuRGt1ypKdYYzZWhECWTBeYMu41w17JGTHtXuXhzzNtRHDaGa2nEvgkTYmIP91wz1i
25VGvi6M5JKdz2HuknNaaPtuiuZA5O5HOCe2T57dXCutMIKpn2j+CJ1pm/ZRtlaTGHiGqU04fGpv
2yUkbpKxwcip47TMowZ6MmjKG/bV7ravrHhNV1WyU1WQH8QRDb81DOU60zyKOGZ+0nq0ITAQYty4
kdLBRJGuP/FQXisAL7Gep+LCYoTbRnp8N+ntVd+rxToGleCXXfVWZkTPRWwDWa09k5oMrmiRtkDC
5+UtEnrxIlsruS+ge/pt7BW7qYeIro/UkCBOa2fLReWIK7aAgvcdfRjHrytRTWNpIso4vfie5sLh
TuKEXEFyZad2yaa3skX/ZeqD88cCDdAHPFggHmbS+0oi3aCp8mxlD4l9PWvjdTL2NyyJ0nULQEus
Mj07wQfudiAkP7pifuu0Id50FfbMzMuaowAHuDJGO8ia2t7bk4SWpDjD1g0L80ZX+gck7E4J1K4H
YRTro6aBrqq+Sf5WzqwgvcZJ5rduXG8VMd1p9LRAvIrslTp4FwVQsbWUk4Y3ucdX1mLYhSgN1Cta
i6JQLhQT1Jlh3A+L/Iqj7S5Hj3WS4krCcVAU59haLyxsD31pD0/INFxou0uOTsUvFonXXcTe/lP2
XQRgsUjBUape6rxaTNXDMJgfNehUwnDZUZWqxv3SeZgXYVkks4vvI//eOuCwoeXuS1RoGgYuobWB
al4EamgGIJiEhml5iK3gc9c4LJJ2w79eLCK30xrWBj4Elr06P/dKdJuhiKso49xWeAqq1RA4qOYC
9XxMbRshC0F9aMtoo/UarjqDrRqiO1ES9K1FiM+488BPe+xpyAwcxbzCle4imiPdu5bFv7nI+f0i
7Fco/H2i7qAsFlxbwk2yLAHEsg4AdUPUdPSCbmze22VlYA2ANGLdfkaEzq11yWah0LtvJZuGoree
WHtYe8EOImnmt3FZSvQld45lTREvC4tcm6F1OKeYTUa8rDR0dhupp5SYgDWgPPRkyBpMF2sQRchr
Op8uM71FWWJT0rnezmFzQqHPVjHrbQTwmN8phUca/9t6jV1Gmlb0H61w0ONltx7Kad8taLZ+we6Z
6TWQWoWzoKeTZzrEXXadQ3XjtnaXQXmL7WLnLNi3Hv5bJrpVr9ssVUI2ljmMuBAIt4B0o7KFaGHI
obq+hz3zBueYMm1J1LQuOh0W+MgubljINv/ejX4FPS7tE/9bbr/9ra71j4L78ue+TOpcOqBLWDhV
fp25fxfcjV8c1G72k5hRsN19uR5xcaJ3gpIOpvUlvI6C/5vizs3p09BCwg3J/ZO89Q8UdzwRP0/q
Jlk4HITLmpPu4Z99elqI0TRt7PJqbFRnUwykVMyKLRb2r13sND2mBSZaRhn1zA+hHoARI4LZQKL3
jPblk8BWdaQ4hM+eYdS3SW+bOwvI7kmmYfW9IksL5HgQl3HmTM7nabKqPEUafOOU8arlBD1jgzCf
FdXuNlqIlLDitKUKqggL8HuV992lVgt+OPkATVMudGwMQF3t/J5+BOs5G5zmVuoW9OM2Rsjsi5Ih
q8dwoVlM1EavdtC6Wv29tPrsyVKzYhdZrRdQC9W+DigrGHFdwekLntFJJNileKiuZVKss150m0hE
VTBIzWSiVEhsfCt5hpsHrQjnadx0ZdpvtbnrlXcz8pL4FJsLbhAibNGcncX57ETaGN/GiUc6Fksv
405nzI48uTxZbF+NzHg0N2UmXWjf2VCR0kPnzShzUwqMLaLPprdk0Ot8reMs8OpwfLblUrSmODjv
FIa2TcRxfTH1TOzcT+dXIpH0kRW6UA+RxM6A+Odtw2qI3rijixXJk/k1bOP5HVvEU6PUmyISF4pT
tkGu2exSrabawRaLCDBoPZeUyVUOkcYWMi3HKrA6j1jjmJcwgISMxKaFbINuPbDOAFnzaDoi2wOT
uTfSOt5VSj35sSrhM7pNt7OT1r5144oMj9J595Va26eRGFGQ6+WCvOys8i5sVTqzkBvfFEcqF0bW
OX7FFThxNSVougFSgKK04xqmCkahMRTVh6OU7Z48X3HDbLrIB7P9Es2aE8weQDPIBQSgEjPBIVMn
z9y8SvY5znTZpnP5PPejcuDDS47SKeQ5iZrwyZ1zeV9Av1xzQohbRYzVVTzArSrw5LNGMc2hRcw2
Nc40LyZWM1ota/FJOqQZLXunD/q7Zw++mRkXziiN68kmRI98a2vvVVnNm1rAkfOqFmeVxGvy75z6
q276l47pK5ysr+0fn8TGF8f04iT0eNKSDEYnIHXxw+qTLC8WPlV3OR6XoMN/B1WTfwRCF531N9Dh
f3afOLDx01mepVMD/Rnf+AdPYsP5w+6TkkLm58VISBzEMJd//kUzNalgKQhecYvOMNvtcEWxvnPr
9JgAETPn9hrf6WMI1lavu2wrgYMoIkZyi0PfKqOtF4IREOl433R0xhhlc23D16QW9dCH0crOx70x
tsD8d1aiPJcRHL5oE7vRWUu86FgKqPW2NXkooGQX0hZNzZ7m75npJUiEPFLM0H12IF6vXUPpmH66
57nMd+DdosCwhishO2NdFwp0X0M9zMOIAmQYx+V487nkPBQK2Ia8Ud9F1X7IWeepXrG36eGzNfp4
m7sj163RfJaT8tjMpu1DG2DFZzPezt6psKfpwD2Jrzi5kbHAzDeGSeBYTDtj2H5YYU/4dm6/AbYn
5l/qy00NV1oIxpX+Bx67pfFNTZ+s6SqG/8+mbAWWrOGR5C1XNXwt0kAVIAOtjrlfxAZR6cqY5L5p
yTi+asIkrCpGbJtxMZBKGYt0p4qpZoGskCg0x2qthkBwOdRHphI326gTiDlDHxr6D8XiGIxkdx1P
NRPznDXXA0wt5rmBZKmT8VZhaSRoyZI0rplS84KwZl7bT+XMalqS7F2bjckluYR/2vWxRcawpI7C
C62t7cjpmmiR6SfclYMEYTWGh3xB61ruh6kpjqGlJoH0+pa2ycHZjk00+QUHVRvULFRhvBqQW9P+
Q/dKd1vHNapzyjJOs5W3gfUTZZUeDORl2NRqFuS0POEShezKEUaxXU2zSVHxUW3oISAb2a5KK8mu
CN2maw2ggp8qk1h7WmFueSJSCTG01pZh6j0n3rmlMYOgJwUdV85cRhe8c6BwQlm8unTewbEQ6i5U
Td4bVUF7QSyARtkBRNccB199oxRvFf0+7OGI5rRWy9rKVZqDRF/m+Osb8pAxy0LVpQegs7M1vzzT
D1vrQwAe8M0p/tDws25bdVIQyufc2CZeFZMQd803ldJILO2sAeQyskZ5g2TBzWgdRjDz+FsWrAwL
Mg185yigSXR1JwnGdus4cRHYR8MdN95AhP8jg7u2czVNv6YDoA5AnrWHLpxJxhqVWDXqeMe+EcK0
mlkQO7yUC0H9MCmALdUZcXehrK1bRF9raJ+VqH7MyJL6GG4IEeUzNRM53stEhXrpTMmDVpQwt1vx
Mnkz7N84ii+n3sX3D6oTosg1RbWub9n0lRCPrvewKd/jbHjpVXpUIpdiM0/5kEnXwoQUz3huLzKT
KhxbOluDeq8VHO7lIeIdeSv2fep9lHxPlZ7PRZe7d9x1r2otvqhIJjLAlidHNb/ptvdIeHNkCTJe
dXPj7t2m2ZVze4vofk84KVyrlIyx61jGRNQGEYppS3IVLboYTZa1xUFG7apx45tIbch+RWHl93R3
HDjsX0eKNIhd6jvWvxepE55dQx4VLG/BxKaLbwoOVKyu2lKHU/hm4Yk3rAPFi512yS4yBrYRZs8q
alE8kDkt37TLhfOav3mtxTNLBQ1qG/UVa/ZbgqhymywqSlSgp4yLspIuGouzqC0Tu5BNtSgwYSmj
63xRZVq+Ltf98uWZF82mWV60W3ScJBTeVm0rcZMtKg9DGqVHi/LTLhqQYrEPqxZdaF4UouRTK1pU
o3HRj8JFSRKLpuQt6pLdWB/E2ucgNef9hAClIkTlCFJWj1JmSFXfGotaZSy6FWV5YhM7FlrWomqZ
i76lL0pXUsFPX7SvcFHB9EUPc1mG7+JFIyPCjcSz6GZ2TBPDtGhpah1q4AT5Sa1FaYsXza1f1Dcl
4eIJGkcit6HNAf0EibPodf9edT6vOkui83+PnUekrPfmffrjZWf5c7+PnSrGLAPZfYGjMdqxoP19
7NR+WQY+OIE2EsunYP6fBbH9CxVKNKpihv1Mo/7npvPZtOphAuOK8ms/6z+46XBx+nnmJErKzoxc
Mrechbv4400nrzKznBDtT7kxD5tKDc2gVJ1nB6t36fSPemffp/N1SE0oZKu1Tm1o30X34dIjOpGa
ZVGWBjUVo/ZlQt2oIdP7fOkf1ZYmUjpp3uyOVrRJUoNCWakaFXJV9eXG0ppwFSMirnRVe1GWjlNt
aTs1gDGtk6UBdY6TnRQ4XMOouSgojfMTI37MrRIWv/c8K52fVW6zkqJ+nZKUbKvx2tjaE/CjxSQ0
HruBrq8Ja2RQ1QtEiA2wlZfD46S6LyRoxaGotHCtScsO1Cq5hw/6ok7OvKcLeR9yrG5sF+R/rb8M
bX5CBl1NtnPrNduU86T2Spz0ibzvY/HsCgVrUvnYNkp0geEj8FpzlRfDSUtUTo/pNE7iRGPbqp7Y
JNOS9L2sOpDQBcOpLU8e1iOsUPreLDcJ8Fo2kCtdv43qY+Nsqi59rnU4KfwVt22LUI+eGnAK4OXC
d0XNtO7eh2bolyjJJD28YhVKDs5QubTzUkK7ABwXin4ty+SGKefShuW/McmkLn7UXV1m3xslluzs
Wgz95LsaIG+cbf3VhI4GT4e5mCovtH4qEYQwL7KC18vg6FoR3QhO86bOkwha1b6M4SGXbQJAI/RY
azuXkG7PoE1P8PsDO+FOVILcldHSWu5wW+RGxF0NIVgF01BwG4MTV7JjkYMGEdrEj+S07UoIkDHC
gYg9CY6DLp+vvM55tSplHyloAn2rA5phPNf16Vo6drtyUKHt2vg26XB3zDq5KbQ8YcvRbJXKuLdK
HoSAj9cqvZ2XNUSIzC2PVQLlOB8f4rZ9q2pXBpqc6Nqy7RIPU08eotHyIE26PYQr0Gh1+tgLEhAz
48NKxPl12JoGfL5xl2tduWkio8CkwK0dX66BSkkTo/vB7+NQVtXZpA07tVUs2plKH1ruVwO4tykz
bmH2vGSUx3eaPJazjuzTFRdh212q4K/1HPJKplZ7d3Dfkjbae3G0ReTKfNtt72S7JKYVTE32Xi3K
i74x30vg/6kanRW1eCna7N5Oa97UWV6aBpedvjz2Q7rkEMfrLB+2jO+XZm8HxSx3lVfutcbc4Bje
1REuT5YsfjMZhyoDldOqV/QL4iifaTYjbSmdePBbc97Q9Xiu+sUKMTsXjaffkEU+pGLYmSmrtimD
aoJ+ArujOUaVc+ai+q0V6FBupN+2ZfsYcVKGY3JkkQQ1Zrop1Iz1MV/6NKMmUorHKHW2VsQKyBbu
frJoIhmgbginOxrcJEDxGOR0or1p69e5MoSYH+tV3Df7wVOf1FEusiz0Qk/vb7DEX0I+wUvicLUt
5vyJ0BC6Ljo3q3l9nCGmuQXeDvuFFpGtVEjreHKTieG5aPpda6kfcxsRESepM7fhk8Cuu0jqtAPe
6AICS+bKTN+4JUCcaTQMVg/5vMYFcADHQwM81RNdDyuH7DqY+rM5ZJQ3TGzNyugoQzPHTlC8DYLb
odJkJ6jg27r0Ttj6EgrSxk1eq9paWNqD0PrLUTMfjVQ5aWFyOy+/QsO13ipt5NsYrQ18AlAfH0d1
OIPdPanpSKnLwoSe5KuuEPwVVST4npCR7fhdNJq1KfpIbGs3f6kYGidWoTAql86IZAtmS4Iv0R4c
W72ouSTFMek3LlVUAmor3byDTb4WYn5LMud2JmxzWRB637NrvKmobFEWykYIncqcrRetsreOHkIc
ktYu6WxzTW2ZvmPu5LscvafcnXCnl+phQiDSNEffaBoGXVUYW6eGncSHolrpo9v4dqTu2rx/aqW4
rYuZK3Z0FzbtrlBI9o74RgopGM3Ku2jKHrs6Hqhou2L9FiTqsNITe+KxMm4ts8RlEQE/nNvAtYed
ks3bbnYZO9l0ZdquiTzeGu2s1DStxcN0jaX3lmpWOEEsGwMXP78/aPK6Muxjm3Her4k46ShXshYP
Vi5oOQlt56AXofBzNxs2cQ39p2YwEO7At3O+rCEncYHkR8JBSlfdtHWiwrsCb+T6eTcUa4gzta+T
DSbLPIx4lfK3gcUlBsAEg85ME4lLf0mlLxEpQsSfPZqKCEYqLv1y8IaLhBiKXyvTR4Hf2eJbDOOv
wJuTNBoyMhAXK8sehzLSgVDaOLBitwCl2TqKnyc2AZY8uiRhWZ2LWuueEs0BlQATVSHHKK3rVhbz
RcYunpV0ZrqCxB7CXCVnBGRNuZRGc4Fl50p3gU6NwAn1+SGvw5uoRuitqaJ0aJDRM5dAsFY/hZLe
RyeS6wZagz+k47Y3w3RtdN3bkPQrjZoUMzSOg5w4ZESQ98OmC7k0G+1dpZIid534lSfrg2o0u1DG
Z9WCKZUYh3zmbfJiseaDBNpdoT9+tg5ki49sj4yVDXMrydINdZEXQ88R3TCwBXYTnhPVCuhlu6H2
hCkln/eA3y+tUey0ZmYNWO1zT6L9qCnDACFqqOBgXfPbDoo8G6YpgBR6V2SyoNEoPahC7lVVOZL9
X3EV2upjvcfSuVXSeB859SGCHwWa95AVNBIYnLSGC2Cq+hYm8xp/3fUYclOYrGo9h/G6oUzHqrt3
sHOXAJZWLR+6EdR872XfbANSEm3cuMXFTaMna1sXK89MJt/I7R04ods2VWq/KxQFahRzmUM0vJHY
+KPAC9nr9V676RJtl/f60+CaoNzpybYUAOakPbla1EshTM3TPX0C6ESY06JTlLSql2KDYlLaK1Xy
4Hnh1nDnKwzcsZ922t3E3tZIqscSxnAA2JEozyC+h02JlzmRPdFI4yQt9RRGxsuoQmATSQWY0kES
EHtPqN4mikISR/N7NVkn1suL3Taj1FTnwxKV0qL1yJHcpSptHU62ey41SnvMfl1mrg3aV73OTOUy
68Z5pUTGpm2Vxg8tLBQNmvcunuxnSybTrceThtzTeDmOLkZxWT6O1nxdKfazrifhphL1k4r/2lft
fpOilK+Klp/aDYGALI+eGql5KDHBRYA1VwRpj5gqNmmkQI7Xm0OlRQgQNk1ddZN/kGJtuSLWRWDy
v6Z0CrShvo1QvHGy5Xvp6Ih/XX85M7aSyTKfRo0vWkIkM2hGj0K+yaQWW5xSGhZNWMaUjcztZRWi
lIjReGSTQfVyE157bfZMSsjcLV93GyOo7yFAbdJmMJ7duLstKvNak6O49IyCjstqH1XqnR5xoykt
lUVDv43Aw6p5ellHmAQds/EjK/8groxv0NDX+MPuUiqSRJcc0sHmngkKr9W7p0mrb7wRTElROadE
i065k2wyx5wOxZg81Jn3bI7GDTmU8mAZ7Hz6yC43emc+Q/Tfe62mrBJVFNti4P9YAbJbagJhkD3Q
LskyFKei4nSMzFw1bqlV1xkjmkYx1242mTopAcNW1romsICsvkx8fwJ3YrD74mlyF4oQgFodd5TG
3pAww48DFNsdddT1QpyTqvKL4tii2Xrm7V+/yGKM+sK3/O1FbI3tpWGArFimuC96dBqOjUEXgTir
014pjioSmWLedfLur1/mR6vwbz+LQ3LeJAzpoAf/+DIhmilTgMrFXf+Q5b1i/F3x9h9/DAJPmkqS
k2HT+vm9ar3JLks7z86F5ING093rP/77O4SpeId4o3BP/yTbRw67QMPCHOEyd1hXlvcrIZYGqui9
/JPfNWuJP/4avrw/P/2uTaB/Md5YAcBiq+SrVNs0TmDCun7PkuCvf5Q/eSk2HbbKNsMCqur99KvI
XMDGBIPSMxajnn4dHFkLOZzlwUqpflVv/ueP9SNb6vPX/sOvZfmIf/l0YfKl8hqa57kyVl7LjW7F
V4tn6jRs/vkP9fX3/9MPVTiJV/bury9kiACL2BhvOEeWo7j6m8/an3wv6ZDQiJhyOuKGxNX49Ycy
rEIvOXhx+NJNnL0O49oKv/31j/MnX5evL/Hzx21uAZ9GhPPPhfuahM+m8n/4OGM4QP/2NJ1g9E/f
euzHVmeSDT0nPAENh7jK/+HhRSuYai8ADvhAC+zj65tUKAX3e1sjLeW8SufUg8lRu795dv3ZJ5kP
MfQDIMBQkFjofX0Nj568ggJ6+PBc/KaVSwWWdY3pp6yC2fibT/KfvBYJblZ3GhtEDf3px9ci+orI
lljFOV5m6rUo6bNaO7Vfcse6+fzl/8uJWQIs/1vyDN6z/3cqmz91IvMHf9c8oUJjiFHZ8/9K1Pui
eZqYivkNoWv+Brf6fcG7WG3YS6jInuanVPpfq41G1p8wKgw82wAbzSf1H8iePz4byMEAwsLyjMkG
kh7enZ8+kl3YJ202F/pVgfFMTcWlEzEFDdP6yzvzJ8cFRTh83r6c20ujjbfEcZF/DTxEPxdVKDR0
4sNM5ZVl0TfZRaprrq25v8gFOI1Sj1K63ElBIBudvam/rNPq3tEb2r7JIK6AuXQANLT0MDQWMFec
GStj6rgsW3TShbJ5km1VrXI3hiO3GIjjNruteMGVXmVXHFMwOx1EVbfWmU9pwebSni/mVPdQQ7qk
Qw8jhdbOS/xlZ1BMtgntYUOcqQt60FhBi7+kcsxHxXWYVHrs/prxxNBYrqiIuAVRf6Pk40lRuIEL
lVuwXLgErrenH/skwzxa57hPKKXMMNcMQ6AvlZf90F1byryRZv/ouc078JOXKJ+em6WoIe0d+lQn
cWU14YFRTGxApO1sL2y2bbxkSJrmvrSjnXDNaJXF8QGR/A1tOIWvq1aBPYDSyhZvjAJ/2EfYZnrt
5hctz8G1msnZdMECT2z2kAKD2k5feke7b9roWI5575fadOPU/dbydOg5keJ3SL/8RQ3G7a7AjK1b
t8pUZau8q13SHS9eR0eCMQY9i1q/7c3U56ONdmAQH2lRS5z+w53Aham2dVSG3kKaw+lNR+FKc6aT
LsG8TvTwylijqkzLrug7TzaGgaUqN48MOBFqr7n1Bt7bePEPKTbBnar2XgpWPHjib9g9ToExtw/I
LzPwCA+zbpfdtrLfaxbkhMZQv6kZynckp4dMCGs7GvNZH9kEt3EyUNPdfCcb9F1HrFoQQjsg3nvW
19oqlXKLJf46B/w9OqV96RhzAfC7+DYn1VPstHBq7fKO1tkkMGsn3ckeXcaRK90IF5wuLdx8xDje
TQkNHNL3a4G21WxmV0Eds+wRooM6Ig76k97Q+25KBh/VkRvNlYu9tRkvsswiUTlpKzWkmcA0vkvV
2yN6bYaZogp/SqvhIbWMxYQLDBzQrVjKZEcCS6jie4MJR8PP3i01HG79SnfyjZYq71j5UoJV7XXJ
pxHb9XA3Rm3HplUGpUy1PeQIDORyuHQbqoiX+i9LpDhe20EsqEr5bCdOux6jigyYGnJrGbnFLrX3
zFoJ3Leu3UnZPc0hW9jRS1ZDol4lTXlMbb6yRpFeESU/ZIqynzPW32yE4/U8TiQbmH9tOeV+IhMW
oL12E3f2diy795RW5dUIoqiwqyfZrIm572OYVGmn7NhJsHNVX2ZrAj+UUUI/ZS+ZeTvIFjt4f1GV
kZ8x2ybsL/QNlRixZ7JimI21NMzdQB9go8VY7+dq2BpO0m1UjUBCNJgvBRQMtAsZhEoDqFxW214r
zlMpn5sSEr2YzIeuU91jpSRmfVcSJYxcswl3pb40+f3NY/RHNw5fmuVAN+GDYYkkcrYQxL7eINq2
NUzG+OlKkjbyzW14Md6WRyjIvvJaPLL23WP+9cMDzb99kGyN/V+//nIr/fEhzst7DucO6RCLPd2P
L0+YzBoUu5+vBue1CvceNkZvfFHK/G8uL3/2Oqy7iOlwIzPVn6cjr+PMApA0X2lYNMfWz7J3L9pj
Vfyb1/nx9Pv17VxsUqR+VErWlujp17ezpgPG6rVYvbKtQ2Nz6YdWZT7+9Xv26ZD6+U37+sP89CJ9
rKqtDm7wati0D2yq1sNO/e4GC5zgmPMZ82+aNZGWjb67P7lB5p+Go9g8tOtwfZ1cSH/XBM1lF/Av
BuWG/64f/vrvp/8083x+pkxAuo5hMS5aP6dis36eQXqr2hW5n1N4ra7Vo/aI64VqmRXUav/iWduO
q1O9kTvLWuUHSsWvCURsQESuPv8q/14kVT54//siiaela17/36psO8YiYtbsRf4bsF7+7O93SY2G
ERPhg3FOI7nGbe33/bn+C+Rl7oP/ja79Z3/u/sLsx9hnwT5VkRr4AP5nhe7g9XYtznHb+oSo/KPq
Y31J6X15PsCNwq4LKmUZ1xcpaDGIf/0+ebkzexzJwxlvtQ74uKlL9SJjL3NRECBj/YdBekoiFkSj
culCrgsSKx+gICFFwkbyaa3lFOoOqTveDup4OYUwRarY9vxeurM/i/nCE92DzKeTkxt7S9g0AUFy
rxci6Dhe2FVvQ4yv92KmyijnzJIhQITQ8Ub4VcaH4UbdSn4SgkU6UXeATNcssu/smhvAQS6F88Qu
aIx/nmxSym1mTmuvm/JAbao70wYYYfYK/Z7o2kY1U7whO8h4VIY0RfiIxZj9sQ0ApUU6EPLN7lMc
WXUeMCB8A3IgVoMtnuyaJ5rt2DgfXQiMuLiUUn+yI3PrOhVGF3D8MVXsxHBzPDCDhWru7toRqvVk
MiySInubyvAt78azWnLfolDsGSFYrHIz3dK3uCfuxHVvlDw4BqIiblR9j1STII1WPFX44OiGImUD
HfDdXgLrFLS8isr6/+ydx3LkxpqFX2VeAIoEkEgA2/KGVSyyaHuDINkkvPd4+vlATd8rXTMR2msn
x1Z3FZD5m3O+4x1x4NjLyjIg/s3+9tnobuC2W8ncY7nImAxFGwKgvo+PulV2JA91RCq3tEib+dqb
0FnPo+l8k4wmUaez3dUBgLjwXSyw7WyGRXIwrOLZIOvMVllvNs02CvtsVcfBWgtzAr1E6K0zUYdH
wreSLXqy5mpY3fQE7yZAkJF46EATcYIGAp+3j+PXvIJMgT1IvVClpvcQ9stLwHR/7yDtuildNBjd
mOQEXpcYBzQpoxu0fIW31vKB3efEyHRKhfc+oF9wVr2llfvMEHe4i/V1EPTFI6pJaH6eQ0aMhiz1
SzqEdqUzBRsQVruOAWOPqUHhO7OyMQzz3FThUQej3RAsP4DVLsFr12C2RQ1vWyvbczUTuL2ZxW0L
9lftzOe2LdbHiDbPcmZ3l6lgWz7TvFmNeh7qq3gmfWcz81vN9O9JxjqZuBDB4Rair/jGhBvhleXR
zA2HIJ7PLHEMfd2TmzrOXuUJpPGZOa450MeZ9H8NM488xRw9OBDK/z7Mv4VQFqfefz/MH9rkrfr8
92N8/qlfx7gOLN/hTDYporhxZ2H3r2N8BmjbpnBcLG+UeX9w35gzIlaCr+AIp20HzffPY3xWQrkc
/jiKpQnO7y9RsomK+pdjnP/xHE3J7wGPD5lUc9n0hymo75WAStO8PU9E+y3I4vjBkpx9VdxgkuyS
1Vglz5ZOLh/n0CmskIlYeo8UMusuaZ3vbRfbWI1lBPthScBkCBY6OiEp6mn0w6sQ8U86uXip5Z0N
9acnVbk3EHpA1vaE8sHJslcdxHOPZ8Ko5Ytbog12KNiZXs6nM00zSyuNtypAjctJic6Rc5H1muVk
P4oxf+wCXpW8qYulp9RTVTbQBrPnxtWevQwnm7JxDYWnLg5umjz8UedOughd+1KZ1gdxyhBE+YPR
QIRqaxhoSPT8lVdsXMuIDWTe0GGUSb/jaHocjaJa+02/kXJCLhGZ/VL2mHljzfnJft1aOYm6qRsi
2jNkYo5vra3Yuc9D92dZu5fQmgXpJW2p8BlweD0WnKJ7EXH24TX5q1catyS0fEipSM+KK7K8cdzu
aju94EDazTJ7VB4/EgMaR5E4xapXhCX1Rf7R6+4JhXOzSkf038U3IVam7obYrmqJfeuG3e2hlN5N
5rOSDotqQz+zEVV/8F135xvW/Th1yJGjTzutHszQ33rm9JL6Exfh7BPiS3JnzWvfo/sxRMQufigV
0v76FLjDV8Jwm3ZJbHNS7pZtRZuUCuNZ+ta9bNATwRh/kL7xhWOwI05o/nGrbTfSbF9SvLl1HhQL
BH+btmmxT7ZNtFUqec1lBLC2aM9GMO/fYkyKLN+thZDaQk3xRtiY2ZlzbcuGTo5FNKEwBd8abmi6
cdRtrZx9n5OzITmz3np1cQy9tCS5N2ZzGHnjnKd1bydEj2TWpi0lqqnJgw0eo9UVzYD5aKrJbWx5
4ix8QEBeeYjHmu8wNQof1cZ0pbPn/5o5hJN1G0+018kxD2EfmwvbQOdbk9258uG7oViIP0haenGy
kJh2VbwLHSVdllMz9TOYWIQ7riuNVLRgJzItWmk2zbcQ+VZh+NZF2C5Rn7s7+DFssDvnk1zVG2fI
uwUDl2JduQ2cLJbtRotawk+Hx7y0DuRtEzDYIExSZvNet26xFJUOMX0qpks6KOMoszhbQY+n20oM
lISrOO6f0SlU3brS6iB84mPwmlujmQUJKrTMjfJSkT1gBEUPJptiggZVJQxFdCe1L5oXhOoylmFw
McvBf8XBvObyZiEtA+mdCwo0BC/tLOVZCIJeAtv1r0EpNIA21nAHcA4/SBnCK7E7E1k/QnyuKlWX
+9YWHsr3cGiQOwkzSVeQ2Zfw4O9Yqw1wQyPTeIl7NninJCtazpkk0FeDsj+E3yJki9VY4dfovdyd
SNiWFkGeoWH7D6Kxk/rVYO3vETc2GQFMlFR5P2IrDORJGFUKBM8d2uLv3ud3u6rF7fb/XJdVyBP+
H2TD84/9ui+NubdRgv2PIOT4zx4p8zdFkqFpzdBb7qlfBimG5NSNIBtZ5tAuOSysfvU8LkJjblGH
RsUCqEs79Bfm5/b3hPyf7f03K1eHySsg74LfZa/z58sSodugyrJOL5leSHmqjRZZEzxAkVoLzDqG
uxiGDq5qYhcfWBJ/TPkUbOGeXyVvB3kn7yPavXXR+rsKTURJBgd2ESvhtLLPoiELQota6HcFcjAe
VnhF/hhwDCpqucJn5uzFy64LoCp4+W09Nj81Fc+o6/6nLLQcEFq9bNE1LHInPA5yShZshU4asO1K
5NYq5xE/M1/rINzy7+yx+gk6AzhgW82quw1n47gVhvOuDfom6Budzs3f2XZz5j5jTB3PNq+yf+0d
7TFpxmQZxfrVtJoXHwobKDbN2dLNqlsfhN+ajVizaK24Wuuj/2bjrdmyN+wWsHbvePlucwkrOJiM
K7MaBolteDcY4pAK61M26Ras71stw6M0uH8rVDqDYxw55/iv3V0qqpfWDPf5MCs3Y/8lr9WLG72b
PQoNaX7UrvtRGfVtNYXPVj58xNJJV8R4TivMxxdQXjiFrH6XBiEemkZD48HgfDPG4RVTw7kttPNk
lt6su2CbZuCbsEonhXCJd9bSKfh7IS+a1SfHcvZMkYGN7XLQj1Gg/G2ktWpT+skJE5NYO/XwqGoc
w31ZoRtuDk5O1o1w09tilO5yjEuEdkVmbMem3zpIt1fVnIVWjInDHD2o0Oql3Vp1HlvcFh6jnvBv
7dFAldc/eY6NNLO9KNHSG6IwB3VUbititBFmzDdZvDcsVi1D0/uMMidEdqIiaNeq8LtpSJMs01v2
eXcUtjgHfBUzjPM9goZFH3ohZXPvR+TbKSPayih/TAm4dWeubjypx4ZrXKT+U82klngYjfBE4O8W
zutFV7oBzMTpJYuQV/qgAD27eNZazF5J3T9qLrAvfjRZT4lWrs0uvo6aMSLZBLyh6/lXWiMxCPPi
JEf3NpbUS804GAsnh0IxdP164OK7tXtCVLSockAmhmihY3fXNzTsMayot8ajycHX4kElA7duxtFz
G6/sJHw0Gz3hCQztNe8aCdAdt1EDbx8eekZBgPF40MnKNmf9ZdGfJFrKVRrhdAH7fEeidbAes3Ja
2UZ6DjMDviH+5yVsjWo5+BPRnvlbPOAm5lm7StSv41csqHM1H8AY43NzHJBkB/bakfkTy8AvhqJM
PGz5VU3i1a3dG9En52Icr4bS7QUK02CtxoChf1reB239lkjk4+G4d/LpwGKKADh9oONG97NwUN9X
zvhl1NUPIA7HPm/ukkI74QcA3pk1qwnOo+l2w1KnGl9Ajzew9ACqat2AgUbTfJFLAxljIAM+Gey3
kKAVOhSQqTn8ESMfyllTqg4N5h/Kfc1BEidfOHVJLBhBj3aJ+miwsC6I4QlXHMhHWk6gQDWlXjB1
h8YzUZ1W/r0KhjcSEoHlyVhumrJO1oXf6MtaljtFqlNJbOuyCYZrY2EDHGYX/IBUH2Sbsc4yq+Kl
y3klHHVKKlJl88E75wkSStl6w9IGDoLj8jYv3KvryZ05jHhKM8iR7Zjce0Vx9n293PiNk7wQiQXl
j5WHBkMQ/Nz8YlvRM/PwZoHCOt5wrMollJr3IcMoTz25gaF24EC/H2Xe7agUiNsx2jsMecZi3sJ0
BB5tyXKZ4SMmhFg2RZ4DdtVTchmXyU0ddHdMVjLiHGh+0GwCoav0NWU5P9t1V0tFzm7K2neIpTOk
qcJnmwFgVVFJjTRpX+gmuS+CKmRSot1BaHtXJu92mZBfIVNHWyYDJG3EQNlZ4CUD7F2+UJp5SzgF
MIfGgQmagYsqcATTBM5sIsvEJgpFs6Gie29dwgcLHiTipjdj47Os4itfcN1hOGFRymZE+BvQEHym
SJ/37Ox2LtKzxQhMkJfGIiNDdo/BGN/13ImEFTgsWSz4uKgk2FxqUJVaZw4gifhnaIHDm0Kbejxj
NIwa43ivZ5Xmi75faLF6tJpxC7Pwp5XPpNPic9D55WoZvSjFMriHHLBQbXbDqLMkdGE6cf8PCxs8
OauUfZMU1VKOxjyxARFRJlGyr6fy0TR48XGRPWujvGU2+7Mvkw2Sz0cue3EMyd9ecP8DcvVv7bB8
IFR+hwKtX6D2HxZJS3zbCJXCs6jxAecjLwZWQWgwa17b/giHXFulVe4vy9llP+bOvU7TsbbQHCO3
HzLizlmAd0nr7UU1vimNh6EJOmNDhPDDkGEodTztEPr+WxXZK59o2MUQFdu8zPl5u7jkMTaRHIrV
WtOtD/wbDDKb8FUK5opRqS6iVU+5VNAWkmE3+eZXJHqbMxYOkWFUwdoZMjwFNqMhkInxQmCBgrmq
N8ARR5duSX9V4MTYFYbrqeCLrTRO7WDEYB3ZIwRpLXoTpDvFIQaEJvSiZdnRV81kAoJntiM6/GVr
omBuRbyLfHb5oWNy3zWkUpaGly0h8SZrOG4/A18D9OiwGu10xod5yqI8F+Myj6f5VFXPBMfqC5bB
7CBK7SGo+sfKdfNFFrrLvE/gEeksMFqnYf2bIyeVwZXRYgmPt9m3Pg7gVLiPMmsvfkKyhlk3hOAU
sG1KxftkEmU9+ARsGXG216iceCEjsewNbDDEywwG9zmfFldItCsVFGliZz/7okOBpr6UIJoaVS+D
OExGsRt/2XUarIzE+OjG6uhykyMntj5qfM6l01arzNcPXoaq1J1Amw0qfvbTFM3rUBlLhwk2JGQa
yHcUrTcUBnhNJWNcvY0OhVXpuMai6GyEOWGkFf/OiV99ZBCLtI8e9MqBkNZq93ZKoK6BW0a6/fNA
zYVDcioWTZFn67KBhTRahCGncckfB7YpGJBKrklEPjplfnGccY6fJq6M9+4LwSdhaGSSrP3Y3Iiu
fSk6Xt2g0u8Sn20qz8LJVGED6DKCXxQXVxXyHaEAMSkvB87pKjsNsso2lZIH3Wk+CAkmoDtsnssB
8H7aiscpCQ/DmDwYUktXfc2Raov3rpt4+PuMjhLi54rp5U1RV5tMDIQUjDWrxwIWeqOiT5faOOgU
cOwh+5zS6sAWAjZzNe2Ro76EEfkNQDeKDvNUTZVnxxx9QcmTGbg4iHMCx1dla2/FUH2pgJLOzodX
M6XmA9u2DMkYR42x9zDKBnH25jnxe9S0t1KWiFcafUV3jUo846Y0y91Y2gTd6OvBmhPjyvw61O6u
kKjWLI1OMsJqbOLg0sfFaAbEL6PMqrqbaiC3ICQnzkIYfqgjfVyWvm3Ed0k2qZcxD5VzLjUCbO/Q
wcG2Gh21bLF+/T2y/b0HNVC//fce9JT/zD/+fWI7/9CvDpSxrDuHq8DAYO3OyPafE1tDJ97UNkx0
o6ZiL07/988m1EXz5KL3cxBEz0Gq/9eDSv03bKYgKE0SDJxvtMdf6EG/12p/bkHnpC+sq7rBr/W7
9uoP89oyL2XjBFFwKWHTOrsy7rWQC/ZWh6SAO8/XPG0iMinvFS8oayt3VYdQM8g5orzfOAKz3rVX
uu9+9U69g19gem9FnEakxfdZoh35Q9feQYdCpq8pOjT/QhAxIXQwAgPOQL01BtT+k8VrvExqF2cn
V6E9E9dGLuYljjJyomcDiQ1HoQqB8OC75j1LImvOIrcrC3ddhUYkS7lsVdkn1a3/DS1q6aDttc99
DbIBw4L4xhpZ0Na239/436vnWTvx3x/9dfI/q7wioOPfH//5B//w+M/Pl7BNiWjrz3tnHmXUAzzf
cweCxvEfj7/p/kbHIv8RVzTvMn7NYJzfkB3w0FpELhALjNDyrzz/86Dnz3tnh1+HfQWtPDIOft0/
z2BK3xssTe8I6KCN6mdCfwdpQUN1ubCjurpo08zxR6f1YkGcWLoWRp3G1nBcgqpgE9Zlh8nHmkmp
UaGyks/E7djMhB12xOiRN5MEHJqGE29VBeC0kW2+Lj23W5agF24iIgjaOYuAhW7ADtp+dIkpQNCU
kYpO9ARUrANaFAY8pr2H3Pzs9dxVXVRcqzygBScnfacL/wMHx8MApwYq5jkXNHntnJogqkjfjJYO
y4pIhQQHH7yWaZkTthCNyasHM7xRRX0MiGMQmOA2fqmCZdtD6Aeg8K7Yb++aOcehGqxx4+bDp8rV
J/ukaAUss13VZXdyB/MFkTj5bC1sbJOICKML7oI5M4Lf5oebpbexBVfR7OylFuBceBqiEf6C0Lex
TlimRTIm7MONn8MI9AIIzlb6qRKuwTlFM0+KrSRX0676e1YU/o5lNT4+qoh13E/TKgo1tW61ATgZ
DvDQN55CMju7ObyTDFdG+XOVj+ESYikZn0kH2lo1P1KGvYtyjgFt2f5PczCoI8YnJwHNeRlqNq4F
riZuZdRY7k2gFV/TzKjBvx+t6wgyTz7Aj2QiNmzTMMQMGKItL8oxuDNj4xHKIYiWOT7QcILFROnz
OgmoX+nCdduHViX+uWkySOEirVxYpfGusPJ1H4l7PQdAY2YOYS4h7UAswqewpz7zgtZZQCmKVqaP
1bZQxQB7HCSApuUXP/JgSxPRZyjxYGt0731ECkqLJjdRNPYZHzEqBC8angsr/Gmb6Q1UbJBqoFto
NhooK1r7JtN6XEbSfMVt+QNlJ8mxvr0dXUkKHhABQ/jXcoaqDe200Qy82fMyBNvjaqC1yJL4Rnn2
SW+5PBwmDumUfYnZ1dm1tHzKGvEEx7616LToAwzPi2XA4AyG+yRobsZOe2Dq9aNBqYU+lcah1Y7U
s2dheo9DFh3HPuXb8ownP6UzDyrvwRvsYxPxCRWGLzdmQZ8XY1bJDPnq2f0j42Bs3uxKcHCi5rRD
8V5L976vorPPvsrwXDJs7O4WCt69OfJnSb3wrqr1PXOAJevTg096TKv6Y6FZ7/7YPM1KWVBocH2t
WwYKO7PCcS6w7cX1+GIBo9mCbUgXcQiskmOOa7PUaLlHgg69oUO6EVYvVZ0emJicYtPYB2J6ajMw
KB2Uh2Vp9vuChL8lDywGFS25Z3D4TpakS7mZVItJOVujicw1pExnzXavXiOQIZjQha0gsf1FUCH2
NHTLoSZfxABTMp+4nFJ6ToBkd8lb0bErbMSmxXHrC5JVdFHuBB8BZ9KdOapT1Lof4Pt5tmz1SCro
ycT1vzRbOLAd8YSrfD7iqmAik1dcDTfDc0amgFHUKYsp2Ey6lezSji1K0rSQhRrFmGF4bif/qgv5
bqewPn3DOZGI7m19X9M2SMfvYTtWEFVifTka9ruB5XOtZwlkH1WsR1MjejI0oEA54yYO26+qmbxr
VGI9Cyv9IQu7jBRkO/woAu2s8q5bk+RNbHD43EPLrzAM4vj9mgYChZqM8JiAFFNozzD2QwZO7gLJ
dvqcflP4J4MlMYPsecxsHS2nenDnwJBqjg6ZpvxHPoXumrmMuWjIF/E6BkB2VwPl0Mrl1FYXGSbn
gEwSk2ySgYwSfQ4rMbPqkEzGOqYaWbeNdUc2yal1NfQ7c9RJROaJgylSaOhgqjkOxeo9VpNT+2CS
lBJ6iJ9ITonmCJUYxBq/m+nFndNVyvEptXBI99GF54EPYWgfU/JYJgu9DNGMZOaJDE8hoS0DI+6M
FBdd1QdBqosUw2PGVsGT1kURSFG4TAwc/mKYA2HsRDEctAiJcRWz6hBWzjITRrPgjF31YbHLyJap
5pAZm7QZP1JYKOcAGtb54HC+Q2mKaD9NxNRocb/PvoNr5ggbkOHGHtBvuHLngJt8jrqJBftEotpp
ywcU6nMgzt9V2e8akv+3IXloaWbT/5S1PjcefyjKwOJQ7ygcUXMT8YeeRPymkJVgHjFmsfAfVSTO
b5KFGNM8AFf8J3Mp9aso+/d44r9QlCnrz0UZBQ3ORvxUSieYUuI9+xcxoA5lLEUanN7yUJNUpRPI
xc04sGCekMBvOovNABDBkyywmSN73AnQzCFEmKDV9hk2Qrc37jLcrq2pH/B3vMUtV0OdLMGZnYZJ
v/FduZsCeppYy8dlYPuv9ZjcdR7ueJWmb1hyuAlmnoqXsK6dqBeO6YjaK4lRTjhpkz3nZnBs29y5
ycz0gjslWbiM0mBhkO/uxu9Kszamp18C1gsc7gzm3eil1zu1yDN16zCNZr8ek5Gk9+Ftq/KfVEZM
Nge2cVNgswbo0NFbI9z+xt6bHmm34/A5yunETfaeeNBKxi7HZe9vc9UeFQB9pofq1srtQwKrG3e+
9Whq2mrKmx99oDZ1h7qg0ply9q5zkW51BOJ2G/XxGa38ptB0j6lAH6IbI6lNr7RnF/z9Ip/AtVvR
TVDhx52K8QjMDUHMXAOn8cRaj2yyDcK2HwPCEog30E+c/FyUdyTbb1LmfqNNHInlblpzuB9nKncU
wSeq9DdTRxeYaC9QsDHpiw36SG7MDowFC/n3cGwfC02Yq3RCB0kg1Xns+OjKuL0Tg8egPFbpUylh
n9cOZA0Ho4pZ2t0Za9DG64GppRYJemPbXQPoYvw1ITmqTlZNmT21/Da8EqR5HDI1lD0laMj9WDn6
kpnhsez4HqKIAh9beEIQlyMgSZj3oZMf+977CeUDZKBSDzJX95oBvElr1I2bovppLTsgno9NZFgF
95rl7a2okTdUagxey+gBPvuHI3BseuldGsQ/MRQ8+S6yJNbTTKr5Q+0KT++XroZ0xMsHfwlfc2PK
ZliEtocpJ4yxy7dwYNMdsYJbgW07NuCgZe0wro26/USvW6ykQlSKouUlB6no6kVyE1h82mXChuI7
tTcb9BqJKP4PTEn6YhqY2SndLU7TWD2WU8xqo2UFIJjJ5SHBYZjcHeAQGfj5Kj+KfEhu9JQ0BKd+
CZV9Y0nrPutyQlhDF1+tPk1bUgZbNgcwENyRIRyJFD+KrLw6HV+81fur0ZrOovV+ep2mr8zOuncL
h5gHb9dzbS50z9vbyKAWFg/9AmTmZphILK5ALi5we1H29UiTorJihjqNbz7mnSXrLXYCfKKLRqsO
TQf+PlYsi21qnSQNb1HMbcPJSNc4fsjd1gPurM6f3jQUrE2nHvyhe4gTIm4G5xIbRrzs/YnVhcHA
2Qy1J6jBzNYTex1MzSYYO3UIwxJ51CwiwtjAmkQj7NRLx4OsYbUXhWTmgEbZ0OSnMdSnBE4FDIZs
HTqEEIpxeqOo2I1FYy2xchMvZ4fEE/aA6seKrYBR9tfU7nOaxEbfeoaPVIoErGXfUUj1LU8g//zL
SNAPjdYsa5WM7J1Eu2dN/FmnPBJSpSGjUPuxqMpznSAPxczwWRTi1tb6TR2xvKHSl7h0gMIoPdpQ
k1Y3ni62Qyb5tvnEj9BP2c9mPE20qK+SrKEN6zsqudBxEQ4wQcYWtfOkGnbYvt5KFYJn5Whk4L8p
zVZbBshe0LTe1gnhBxZW+dUYmlfisXpM2PmlrMU2quQD8JCNmetXUA4GzSnoFpHbb75fHAoVHAz+
cJQfQi0s0T5C29GXXhTOpFKW35XFQx3X3munpteqYbFZS3/nJ9quiHSUthxwC9m018IBPlWhem1N
LV85CAKWve1lMwTznS0CR0VBgIB7y0G39UuAUoasH0avf4qN5rkqHRIu4/ZZupPY6Uavs5I0giOS
ro4IoMACkYYwKvehQye6CewmumbK3E5A2sh61F/7mMUqtc/GSphUOW5MaEmhUDsZT5266+vD5L30
yBMC8441NwY49cQc/zE0U76arNmqLD8bBXKMItFriGLqU+egxxLmXtic8WqjB9lpoEeRg03hOrFD
qEoSBp3b39TEp3eY8ewh4fgN4S+O+hWs8zHIx4mOuX22G5awomwOZXPuZpCP1WLWs5nUjdjLk9wN
odZVsDeq8Fkfp22SVNENu2xmG1p1ckdb23RjG2/MZiBtFM3Goi7o+iwvXfeFf7CQcixrBet3oec+
G96xNQ1iTPJPhzngqc+QwWPrSi37OcrTfktAFc11U07Uraw/8WPyPdsj6bu+06C08ui+9frgNZN7
CyAvvxWTRmZA3ch9ZwfnpAoc562V47idhsHgPCY9mcsjgjbub1JLPxmFtec0OihUqDEghEXVsJjX
cMc9AUnjhOjINJa1tmPOf5aynmMcxac5EkIwklU6sm2kd92Ngu2cY7P2EfzR+T3Wpp6v4iH5GDC7
LUi82SJvNEgZBDKZ+eolGECEjfgU1n0ZoM2uc9Zo00Z12ozdUkefD7t4b8RBl9597Nk7TeuNc1ih
OC0Gbxm2KZbCRDzy8XOL68lnMUSHDu/npigH+le1jZzZPQD5e4MGFn1hhZ8zhOyz0Mv+JSNZggSH
qyXHlUqsx9QtkddFrKeneN9LtanC5NLxnrCkH7B8Fg92Lj84XC9QuzKcojwCoSrvda3acMBBypRo
4l29PhPrDc1n0neZaow5aO7Wdsn+jhlbwOCKx3U1NDwPPYLRADQeIUX1Oh3g5BaKhLUwN94mQsQW
CXZJm43LAovImSL3paqKm8FObBZ62hpT19LqnVeuFjbnxn1Vdkfe3J3N2GOBnPexIAl2GYXJqde5
amMiJLyGMNb82Sr0l96LZwCs/VwbA0ZVdm19CMI+0piNuZb/hEY3W+pasp/CQyWrE5vvTdEbLJdD
5y6wEOcrTT22RXeaMGQSuveeSOtQYjjlax9vOtA2u7Ea2WQN6pTqDjbPlINQC7YCp8mqtCTsL+Om
F9OxrUxz6UN8WqpJPUd9ml5MDzURMgINI3NlrGD6Totullj20kAvlGbMEmsbDMtU7WppoOsR0bvN
/GvpDO3FLmpz61awsX23rm/SsmIFZPbHJLIhLBObFCeetnVZ8lFzeg0vlwVgSj7Qvx6IPUi3Ksj3
LtVWAQ3SjNRiItIv/Lsd+30/JBgY//ch+Yawluw/Tcj5qX80Yw6CQ4Gagxk5+v0ZHvpL0g/hHago
nZhQaPfZBP1zQm7/xt9DQ9VNjFvG9/D8VzNm/UZ/ghSb1RLWedgnf2VCTt/3rxPy2eLlkqJtw+aB
n/EvxtE4JY1paDz77A31wW/KLjs1vTGya067oshXWdhOW6cHNAmJ0R+egDXBDsvdjDifJgpeB7O+
pkE5roIaTBrCqi2elhWOXM4l9v8YURK6ollxZwmag8yibdDqEoqidaaLbXBMw3fv03vyxZ77Ntfj
u4aAryvU4p2L+jezPWJmGKz4hGmeY1I2wVN25ZoW0n+lxAou3reWOEhG+2JlDgpj2YO4Qe8xK4+5
p1AhK1uDcMLYqF/X3zrl8luz3DIX7Qht7p/jb01zHeeI56NoZCJanfpIHvrWurd8zlTPzp7ElDx8
S8WRoX8Y3G/szlvsVhNUbM597HnvQRZNKCHkWbXGsxqGJ/Cn1tJkPq9RtGopExk/xO8uOWJXDowv
oEy8+roMng3PdHCMxz8M37rGDvEOII5Xoxb+NFz7IW3lp5BRuK5TPhTLae5sEzknhW1JWd0jS/CL
+AfqC8aWfbgTE27tcjbdp4nzUCa6sclRcOMSajTaNGMXNFxbVHmrtA/3ZkAhbKWBDQSbTVyNz2Bt
gFZhjjMezMK484w2XZLAjM1IGrs8xnKO9pteBrXdfuzQV2it+Clyd+W0NV2CZ3nr2K7pFNw3P8iP
yrWPtelWaDyIijIn92p7JCa5Qb0ZPO2n5WLcEMO+8BBdVWj7CItbFRVFQZrNpimv+GpynBwKwfyi
1dKPHjMB3q3shUe6WRhuZ+/UvInh8bqTOuC3hka1ITmAMb53SVyACj6GFT/Q6X5QiLYMOBds9a0l
8W8AUZmBBlb+0kYGTZHfHBq+waZuNxYKsy2prxNjvTJfT5ncp914O5TWs143Z7cJHyJSVZZEZDyl
fnAfyCBcFYKUFV9pe2Zo5qILqvvR9h5IpLmbypZXRMfgNuposdwwBGFWeZfWm3YjxzjGP+2jKjXk
JLKIt6PFzHDS0e71LSY/36oxAgq50uU4HXL4oNGYj5vcob0s2sxcpl3SsHntb6xY/5mgnAjRxa9g
351UVOCDEfZxzBmlCHdmYvsl+1mZrqQevVFK9JvRbW7dSr50WgB2lSeLLNRUgQc1v9IRtCp74vt2
KpZNa+8mPpmFbQ+QarMcDV7cPRr9lO00ydPpzRP2Ogk/k9GYmFXaL1ZvXQ2db7jLYzbBlbFna2eu
TMe5CTrS8pQEFyFSKTd9Gd2GvlopLb5PE3r+gGe7D2hk+yheh6l7AbRWblTCeqcvehgVQCAXZaYe
en1ujCvx5RnyB8L/D2Fa+7I3GbuSDbvwNOOTsu+pjnCmpGn6lPaNsTbc9jqOdGGhSl/zUR7h9o3g
6pyRVuNgQ9+9MyOnsFch0H0agRLhcEbougX2cM6cb63ypLShWU8xk4Zueq9M47UEt7RzRTYwFrIv
E0aLldMEDtQ6WOswC5GNBeMHsdX1XtjNNcgauKuFSCg683HR2kDayDH8Qf10bdLGWfYBPEi99fpV
1QKTiIoiI8VcnLuWrGv4Dp/dRBIGVf8pioxu1Xm5vYvjjC5OA1/ptqWLy4YFGqF2H0A20qVeS3Mn
4Eeew8FCY1aXA/ATHA2mUd73GfPk0bGbtT516zjMBr6nkKB2c/xf9s5rOXJj2aJfBAVsAfXaaO/o
OUO+VJBDEt57fP1dGJ250rERetebQlKTzTaVlZl7r72OnHhaT3FYXuhfD1OmXrN8HNcZ7NaN6boA
/Sw+rWUd/xDs+QlIBMbo5Gob2Na0F3ldHYrS3ibcKNeMwdKtB/OIhIZo3tEZvdYeZNVaI5BM7Qo2
KHehFgkYnZEkHHygx2pxKiGQZ57hTOpO5Ga5dSvjUAXWGQ9tsG2z2NuxtgzWAwGbviIL6hh23UeC
vmYblq11NLkCgRmckfqNQU48Rj4/zUPGe0OSx9ZZRk0au5ZVYGaciG1PVq5iZGF4MxKc/hSk8qjk
fNIiDE+ewbpJQf6uM7UmAfPB01xxnhsWb2HHRZh1zG3ZhY+5CYKEeVq6LS3G4l2o1X5stT9EhcM5
I1tlN3rI3yYDCzLZ8SMjjfC2jSDvELqwToqo35XlfLJadVYpxptqvu2xxW6seJEPszJmflRfpRP/
8PLsPW0U+2GcdivBlHKdag5R7960wSgKgGJmfKXrw7PRJW9Fot2ii32Atlj4OrwFcIB4fmq7/Exn
9yvIdDS3CDzQmdv8SOIU10Oqv5QRy7C+i65KQikn37FfDxWo8kIlp9zL9H08xsFzFabraFAvgt0W
krlk46bZF+lZL46FSSpsr+VPLkqb/VCOKTeGBFIis/SZmSvUnwjqiYmMetZLfa2l0QWuLQTvIjml
WKh9m5rqaD0HmGF8jihT3E6dPfKsd6ScHIl2JK844f7v5N/wuV3HRX4tJiTLdQx3XNXHqjFOTpp9
aKX3NYxs8wQL7bzSaDTjTzBA26Yr2l3jYkpCCbgaCu0Z0vd5Dk5ZTIfTuYeySd5kF7+HDYdvj0M9
rl2UWmr51HgBHTFaswYcspvw9mQsTmM28ePM5znCbLU1TfvTYoyKv819iOKA/5kDvM/oa+qUgbiO
LtTga7fj5vbKDeyAXHRbcdNZWa04zk6R+R3ZzqJilIiQz7D44eVYYFsCKYmIYGdl7Q9Cvr4FzEH8
MquuBG7cLpcYw6LgyTzYwfLEOO5ZVxgzT/WAjbNsaMgXB0gZyfPEInWNXPa+0xjHuTFpzTNIv64Y
WRMulFRjYChild4Kb3WwJTuVVfwM6seq2RD3FX+al/ebcJlBemmEa9xabg/1wbXC4zDFX6HhRNtg
8G4mI94V866Rydr0dvWUr43x7GnJY5iiPseWnfkAsXZx3DNEY55VWPO75Q3wroN3T8DkNoH/aUoP
ebOqt6IwmYSYQ+xQiPv6xNcHqjEqB9Zpz0bprkaQ5V5Tb7y9FaR7k8DWvk3WyrPKu1zUy7Quj8Sw
iWzH0L6FfVHoeCTypj5C/xkyZAhD7/VQ63ttIivLec3pAbW1reDIBLM7RGsmQMdiYOg8JuSOsQLc
zRIQdl1oW82NS1wozOgiG1dclnRr1RffiUScN7nXV6xjA2OTmvGTVecPtO3jFnX4VxXX35gBOsiy
Df5S7Dc4dA+ha7+V+Xg7Ltj3cAHAhwsKnntX4ycJeHhnQAGssaemnLDsSHQKW0NJ4/1b3jvu5h3J
14EMz1VtMO6DQj+27rWHSi+h0y8sh1UOr96Q07qR9tlYQPZkgr1TW4jphXGfwLpvFuh9y2RyXjD4
8wLEn3pvj1/itlpQ+TKcdyOtxIp7zbAWKv+oh4yMcgD7pNWSL9aIM/6eezPpN/kC4yeDYNhz7p4l
nH4XiLmfO6D7u55v9ALzb35i/RfAfwPpv16Q/4Tl7solBEAayWtSQesOb5ISxgKJKMMID6JuEIt6
/VXDbI9ipL3JnPiDwGHgKUgqB+IHikC/OnLapsQS2OaNQDmhkRVTL5EFPdkFCfkMLVkGWECeoL8D
DCLlwKt3OAcf4CP53HuvE1kIUQnadglHsEhJmJe4BFxarzzBJyxEYk2qoNqES7gCp8KrvcQtZDMT
5oIEhnGJYmAeRihDNl+GJaahIq+h7IkuJ78Byd1bsgQ69EhcMxIeUpIeoiXxYYl++Hu/+vt+lWXk
f2/oX4r0P7TzywLzVztvGgjUdGyDQBoBYS1r1/9v5zEjmgje6PGF/hO/90vvaXm/QbazYZQi7jR0
ZxkC/GrnGQ+gWhee5eEV4LT/S6ZD8yd+9p8Un1xsuEISV4LulHCFpd3/k+KzrcmC5PwYb4iy1Fal
165dVT+2JoFFsYnvG6JP8Rj1RopVN8semk7Ve003un03K4OGYOQ8KEhxqmzrasGU2WAK5m7ixp/W
TOBiyzXhFFb9u+yG8rGYUKvgVhlvJfN8btW568tOFY82obm1jrm2pRT3UVjcZMGiRxry4B7lEQIG
9LKboCfRpzGMp4zL0T4Fjg28mugrpztYk/cYVF29He3YXAug6DcpOdo+hvdXojfxkgxA62czeqLf
KS6hOeVbRsadzwYD2xIvwU1keGrLVkaS4VGQxjmYiGYylmtD6cp1GljIr/O5xTjgYgqkY7FLgpOX
pNyuIklSai+Dw266JXBcwkbxnbA86p1NXxvoGzPoj0mtnSCwPPNqXoqCtaTeFsRfiY5ItiR8dXqb
pA/UJIjlvgUEYtROjn8pDAYapOihtRssl6mGODA3XF8EwT6ZaeY1kX1aAfL3MRdHUTN7bbH5MMaM
422rOYTgKa7CuTO/8EbHiDnKh0JTV5voTY+lE+kwJX+J9aGm5pbTrj9DIakZgi+ZLIN3pfdOV7Oa
r07BW9oiNaum4TbJrHfTqr/NQ/JDU/SKRUg4VTreiIErh8siDMEYMZCMrA+O6Tp+2hHOR6YfEdr4
KszM3guOcRiB3qZwLayfRvhSBvMdCfenuKLZ1giMWPU5AjA+HxgFCQr0bpi6x9a7zoBqOriQBzZu
GJw0hXONdWBNxBjnNpXN+dQajGmdh2NMm5BOQpNTIEwvICeOfYwJ33WQ9YNVO6O1jkkmZV6vdCOk
ZeYKNTnJxqsMLirazGTZcXq/92pcYEHyozLZ5U0hi5OIHndTxHILhQJaABk2yPQaddCmpmKgi4xp
4Avu63xSraC8T3P6oj6yD6MnWVkmmf6Yh6pBfANUjzRndlcx1yYpcJMqXCG2jmhoUp/TRPIXttJD
4jiPdatezTxvfTexfMCeV9aLKdN6h9SDodNXaHYOmlfbNyxxihVBDi2q00hsxxp+XVIUvmqdM6D8
kgvdJH2du36ddtHRmIpTZad0RgXLtaCV5DR/bwx1ow3BljjRcQuLYtdWqHZ8lAC7BlLgCvfw2qvS
9zB1gPDQ5pt8TcrSHXlhCboIm+PoDuUh0VxYZJFh3EDAWWBBxN2ysAuOLBYZznjq2leYUmIpNiaZ
bivqKZ/zPstXqhzvJgN/1FSVQCYm8r4701R7llMMv5vC3k0Bd05dqxrklvkpCHV3MwWddWxEMB+r
2NB2dlHpm6Iq7wTav+2cTEdND75jR7RuzZgdAqdfctAi/LJhUh41qBvBGKgN84+Xyo2DrybP1gww
O/vOjePPOZ5ZaRCU2tZ/189/GCYg8v33+nl9K9+olf8CKjN5zP/XT/i1woCeziRa2qCQ/ql+CiRL
AL2NpXwuCMM/QGX4K0yLeBqpG/j3edQf9dNwbMl/AT1I7f1r9ZPC+6/jcNd1LQToAma9KRgR/XP9
rDEw2k5vzjdlifrRAK6/QvBDb+RMT0Zc7VTo/bAZNa1RUbwjcniNBDly+mifGkelS9v5tLBtdGe6
ODOLT6eF34fTDJAL7VqUbifl3eppgFARdwRHsr5LRnkZLOdcZMXOC+SeKSRRGqghPHZ3fh0sYYVi
eBBO0dGPG5+ayE+YaUvilOzg4i6ufq1MFAxbZzOZjLoqACsZnnfdIeS3NL1nt7Ruiby4cRhYrjpo
PPJs9ekzqIudGhMLlYG8S+PggQhm7trLIt+JUVenhY4TxP4ciiC+zHNXvuUtv4f52I7dMKCzDl+1
IPhCY0mKs5iwoxRiQUv6BDWBBX+nk6pplgMyxuUwScIKVZDDqjZ9DwC4wMtBu96j0/55EoFx2Y3L
4eTq4RbS6L7OczCinF5VE67r5TwzOdgsncmmwVEHsUf6Xq3D8knI0lrOQzmIh2o5IaflrCQzjb+C
keYNsJ1DvpyoiOPZVS6nLHenq+DYtZbzt+EgbgLvMV5O5kiz9jZHNSo2xMP26GNkgCKynOco4ZHV
cMQXy1lfLaf+tJz/7ugcSC8Z1zalwaBEjEutCJeqETAQ8smrVQdyu3DlL9WlpMxEBGFs5qXyVIrA
Qcz3P5DAgFGtDK5ZS6WSS82aKV7hUsW4pIVrrTV09qO6TBBnmBnIVJUfRKc5bM/xHg6alxxKD6Cb
i6a5t222IKYb71rsttUeim+hHjyIDEdDhB9MfcqNhxv+OJdhhLa3PtRV8Njo6Ob0lh2+hiECrS9Z
np2z6T2GmH1eMOKpL02TfRUjahx7Hk762H8vG4KRECc8d2aFfgrSs9+rEuyap2/cZj53+XjOmCdh
O4/v5tbr/YII4HZwLvkiNFfaczsYOoubeR8zoiOviJqH6L3zjK0TxfBx7KRYyaTZxa55TgWyWV22
dFXqpteTJzkuiw4UWYFZOTsSyDI/NqpoU8dFs43CHMVfcsFGyoI8CDcwri55CiEHND06Ee2DAM+n
Qpso81pAEqSpf1hR+dzD9dUC0m5rzzTewEvjo9VeenvxfrfexRoZNxuTSO5EYr/ivTs1hvvhzs2J
0JnrbNhs/GcCNbl6jswkLnmd7VKdnQoa7JPFsr6uYx2VTniP6BqDSTS9mu5jom3syTuVUUQYK3Qk
VlsAqEuNKztzlDZJ77wIDaJZ1C+l1t7HolM+Yo3b0FGFL4gBtga1zvC6a5rYM4DCBqkIedNr8HJ1
goAllBdXyoPbJzfoM/yOgUxtDs2pB9+xS7L5lSzwlkEq+2v8Yk7NbUqLA7/tq3M3zAdZRu+mU+or
ZbC/yga5KqP4oU2dd1mHFfoqMm3zyn0mX5SNe6b4EmP1hCvYbrKKs3AlF1tFk5tTdv27Y/3ZsRr/
E5NzyMrPOnpL/73qLo/7VXUN+zcqqwNk3eF6btlYEX91rYYAAopY2CNKnLWyzaN+VV1rUQSj2zIk
D+SqSkH+VXXN36DWszO2kRCD8/xrS2iW2v9SdV3oOEBIKbem4AfKf0HluCFW4FGrpstosRjdGonu
uZfSBdj+pc8zJYkFK91ViVpPd+d9IaBPcaEcY1hTgpxtZTJa8jAC7Gujd+FeCfMH/QrhzlK9QYd/
SFSS3U5QaXC2CFSXjkGYlq03l0KIL0REMfBJ8JZGvqTNdp3FqRXVG8quu2Io65xnxjukyqQtyQys
Via82Sya4zioryU3llXPxJR1X3JCW5Gv6Sanbe1IfNXUiFWaUaMAvbPAZNl+tfvpmDjR2Stadcoi
NM6JxoEeYOvwVrAkcT4nGLJG6bKQaRE5VdaYEOflEkA3pojvvA4QuK29pMK4KcWYH92we+RI19cq
Y6zI+LIEkzVp1zoWP/BpYmEqXGNHE/s1x/ErM0quNnZvEJmkXHUuybp6YjSv2KWFl6CxsByH8Wcb
zOYL1nbWlizSt71Iq7XbpDSk0wIXDWQuTzhcjI0YdO1ol6N+doCH7KLQxG5fd+Jcu+6dlwbxA7zr
wxBOj1rp5KvCJltb94o7V7BjAVyf+55uw3kt8DrPCcecrQ+EFU+JdjZCmmnYQ6Hz0pcB+2HdSsii
Rma1CzINXd5qrmtRE2XBSsJEMnCZjKhiGx0Y4MFwPOk4+uFfkLpIKjhLctPVkIe1k/momV0aHYjo
no91n8ubCCdMxf3AY44reRHUjWSky0iV0OjekMnZZLttBNn8AGuV6MC/T6+fp5f9PwU0D+0bTXT6
1jX/fn4tj/x1fqGUsUBY4rHmfBDu0hr8Or8YyGE9RUTjOb+zvv44v7zfdMIPTBKFUVKDBfxT1+D+
RrYGxlXyNdAemOIv2UzBhv3L+QUuxMO26oEOs/mwLqqhP0/dNE+zknpMi5uOC8F84Q7jxFdAmrG5
aduMtHj4ilymUufqlNVtt/QQLLY3tZk9MoorVpmRnSuzfkmn4pg2+T3RF+tWg5JkxeqC7PvCboer
uTvsSACHSdgk51Afvs1x/imjhhFTb7KHSkSBzmHeGpkdg8uCsKJCdip2x5ypjS9th/RDeDaZB31u
vJsIpWEk4QsdAoSBrKLZTqLHFS0XAXLmZ4iei1Is+6kaA9qIgoxB3MFdRGWVK4/ip87M+qk5Uz/1
Z1IGoX2u46h5ieHCrLue4Lpt3/UxEoEuPrlNLmI/lU4zbPB2a+QAe3W8T3K3nzdVTRjpBmk//j0C
0d47sWTZp/k3l4EglJ8FekVEbRkJCPOFWrsDusjYS4ftktSKparyTWSiGBqjTTWjnAiltSkUwgRd
PWsgH/D13vdu5uf4RG22TL3WnsfBuZGLLNYrhV+n5j1hFG/g0U5p52oQPbtL5+b5ytVI4mLFQi9o
3Pe4UPC2bHJVXUEofzE4W2XasAdccRxEtoeSigMlv2bmeIWB/A6S4l6GrJpi8ZTAaQsdd6+M4EaE
PT1EWj6kJaarfNGH6rvBae7r1ltb44B+xP6WueQLS+9Nes0RAysMqgw0dSy/cux/diquFlmAQ+Ht
bAjRRtGQ0djcYuN4YS+ydglmxPyxyVHOzgWRXxNrG8T5eWPDjTYZ9xUXdnkrO8uvaAb9MkbSH4ZX
iHFX5DongsJgxrTH2GG9IvRX04m3XtReSiCRQeHFm0VuGLjy0YY+EmXGzhPjGbc1MDepXzsEBUhQ
rzVhswwZ/XbWnpzQOgAB5R1GPM3U7NDQ43iYfqWqPqXd+H2efnPj8Amb830baltVOme851sESFc9
ZpQkJuM82ON7z5Ng7GWsk9w4q34+smj0axyngWtstWg8DWN4KJoMwfVUf9auiU56vK8nJpAq6J07
16kRfQzhVSj7MsG2vqlTPT5kSYqyJTILC+0o+gFMO9UN6SSEevKR6qR9SPtGYy8zlOuykR9TMF71
ERVNZp2RINyNVSvWI3GbhEe7a6uqXrGy8vGzBLM0taNpmLaapV6xf18G+patl3WPyaA2lmbhF7Jb
7J+YB7hlkDNlZfZiq67HZcWMJCs0LswX7+2apgDJRbuKR97xPpa3cantGsQ8JdujfRkmmq81ZAdW
o3Fp426XKLJOQeLoA00nnw7eLRPrn+ya20qFk5/bDSwHRKvh1GAdIrxNJWer0mD0AcOBmVSa1P2h
yn6UsKO25qytaRqGNWxUXqxW3KE5PRS4WNdEX1iMvxVJrvNIC04QaaGbGBxCBrNxVJ658NDttJqf
mcX3Fmox2DyyZ7RsvnaGdWEZ/SEsmkjNM/eqzPGFochb5XF/j97juZXiyBB872lduk2nHDxcNFzA
FU+r3uYEyLSUYWiZo4WtFIv7qKy2cTedi8oYVsKKbpKkeuoFKJ0wHB8DwTAiNKJVrrXMhJMbBjWG
H1aEL5DNziAny30ZhXJlO9pwngsrPYWEFPl/1/6ftd/8n4SJ62f/9vGfpoV/wktQ9/lJZH2wWLME
999/qvvwqReOhG15lHIGeb/6FkjZVHRE9XQU7vLwP/oWyBM6SzgXwDmwCjyOf8HISC/0r2WfDC6C
E1i2CyyDPIt/LvsKMg+u4Gi6ifJba3IZeikSqsdWPo2zOcAigv0uzfzszem9N9nvJCNpcOdmxGwh
qMgJUdnKbeWxSeSNpZPwN2riXYbJJe3k8zxDIBvyrw7eZKUhigRE/ZKWWYl6QeBEH2b4m9m5QP3J
sKWXMCpIhNWr0E+JTFxVInkWgZjx3ggaG0V1ZA7J1t/5nqQ06NP8jhEt/x2HWHVPSdTe1tK+RmSz
ohD0HrIENjA2tavqW/QMi/hCa06Gxzd6zPttNhb8zTAaPNDJXnfovHDLXUstqpttHmrf0Kf45LWs
uKBdiWoElYE2MndZf6u8MTbzQA5NVNHNpFQ7THC0ph+4UW6aBBFSEFXTwwzzKerx0BtlA1cLU5MT
WyhUhM22AvTxRmrOSzYnJi2IcjdjpKdHF7XYuhqMZq2NHLduEa+9oV+ntnTWcmKmOrCTsIzuQUyI
5+baAQJOWr0fROxUpNsxbkTUhxePq1LTzE/GMOBJ7z30jmsHk32IM6nt0RRNWKTJFAtSe60KVGwV
hDoysTdAA3b6QlQbetgVDYy9OAh2I24+3/25uHKMJ9sFjpO5OLZYYqV6I1c9GVxw+8OVaPjghKp7
avP8NUo/a4URgTyxlWM3B/KKTmPtxtjvc2KEdG3DlgOWgwuoQ0cSlBBAT67Ct8kWx6xEEJI5GLcM
p3pC6HwfZDazSUI1yuEAmGeHW1PtI0dZKy1S+7wJCz+orBNmHwOUeukeJg2D3px5z1pfe9B3tO0g
TSRWMGubCBGNGg6zhCCmF9id7ABqGVcqBpjlLorQEtOp3+am4nrmbGG948Spu+eZ9OzUMb8Q8cA1
jEkH9opzrpKnyQ1f8GvdIoKI/LH1uBXO35saehZZFntafddPURnmY3vMOpdPczx/79tpAV28tVO0
oRE4yThao659QSfcrpVFnH2io/dI60W3XT+FQGVXZYcrRXeTU4Jqs5yp8q37Ukk0w7Ssl7p07+eQ
/tRS3wyInTsiHvys616RBt6bWORcI7+xbGZ6pQ7LQszmOfb6jn/Kz3PSX00r2Cb5R0LX35HCu2kW
KWO0aBdTe8EoTreRgP0O/XwlB8yvrdt8Z7YwgqM33zKFVsvRk9bXEZ8aKXEofT89iplx51ikLkXJ
fczzABab/jJ74QXc9J1lUqURbK9kJT8Qu+8zCZcEvt0BpScfQPWYxvO4UbH56cQ2jqHeeORj/N1t
gTGBaCGYTtw10vqQ+EM3QPdvC4XKOmsM21eB6a5DRRFOBVXQa2uDUJExZZIi7xNcukt8dHVQfahD
xjeGbS7k+6jaNy5Rt8ogpE+5jlqj3VR+NlWSgaxzKr3Gvp0tb4cyKczvVF/FD2VuoIdFIBYk6DGL
4mzNwbtBsneXdtM+U1LbtIkJjzjAiMUqcgv0Nt9ykflEBj1vOpc+p05KJictYteylbwC0uV+5IAb
VHZ9ng2YIqaBIto4hGF7X5O2x23IOojZvpIcdioy/sooqdY4CqA1zJq9ngJQhmHGldu1/273f18P
LrX2v68HD2BG/73RXx7zq9E3nN/E0pdT1VnpoaT5o+Ab3m+uxHkJosByDWIL/yj4LtNNdomuYAu4
IL35T78GlUsAhnAdjH4mTKllBvAXKr4h/lMAhrU8B+4ebBx/3gj+JK+xwpRI8h7KdZYIllQQAtdj
kdnefDeZ/UyNjGSoZrGxw14P4WD0ybCBA20acDHQqBACgUcWGLRHfcOfjwfIWXnd4NSc4tDCO7YY
aWjtDDfHl7Oy7TRqUEGruDfXmpJFTt8gOvvW7TpZ52tXL3v7NDrOwAmC+z9u3ty5reeZhaFyG4SL
Y92znjIwIezippSQpvXwEIw1bvthsJ9Aj2KSBCpSdUXirOwkzta4CfsTVO5pi8Ulv7pYY+8NkQzv
eu44JdinMHjv7Xrcpo2enSORFBtiJNU11hx7CwIoxIqBgZxKa013hmuqA2La4UKTP1wNiCfrGjtH
AU8O2zyg0Tcviho/bVFx+iFa4AONQvsIBBvVZ5g7P7g7yV0fpsM5wLJCqY12qWZb996sk2i/+F3S
jvUramzmIE7bYqIQ+nStoWNtE+CxW7s0EB+ysqIDQIr1ztvU7is8eVgRS4KZpAzNV2sm6CCcGais
ErMz3xOUGKeuaoLDlMTNd8tprDWMPTTZpQzWM03bTUdQAy9pfqhgcTwYDbcPMOC6d0FbIVeOW4TX
aQmQCCYnujpLsISUKSfsLL0rkFBnn1U5+p2JVUtoBdMPxJ7p2RlU89yRsLJtZJwDIIvMi2UZKQaU
EA3MJJEZGUuihpEgJ2XU2dxakVWu0V8WJ7RZbKEI8EAJPW8wtXvbypnGr8Fm+uCVWXAcC6QR3KJc
jYGJAKHOcK7wiwk/SNsysa0mL9+VAR4RVnHzanRqLmazKdUxrTXxDODmG425eTY1r7zh6autlhDE
2RQmUvG61m+mOSSW0hviQxCh/i2gWl3sppzuw9ob1n0zVJsp6iCG9rPaNkDSgr9P1t9P1iVS8b+f
rI+f4Vv2H5qp5VG/zlYmpRbHoGOzYmGGugD5/n+IaqHKgL1O0KH+j/3QP5opWwdiaTLYZLjJuQwY
5o+zVXIgLw2QztHLUgmYzF84Wx3j37opWwjHWH4XVGjxU+Tx5yFqnnqs9nkaNz0tULOOLespcLAT
5LnGPSDYGK09L7L/aaX67jAO0KuKzAQD0ctj6yTCL/mmbIN4evS0otp1MWCx3OBwowHaxF35IzBH
BH2AIukMhCg6bW1p3XPD5Ot+giWwE7VQ59CexCEe3bWoTMsv3b6+OMsI1YHuvR1d471VzZdO9swe
XcO1NmMj8kWBdi0aOyAo453bx+KuKrPUD5LBW+sp6r3a466USjbmAcbf1SRLLDk8K29MtnHQaXsj
pi+Ks4Xz0EUfRg43EyUweREtkw+0dWQHBOWsVq2VkPelcuNGmUg0xi7n34Uy37sG9aLk188RcTI1
aRX8FpRxM/VyVVtetZbWcElddRMX4RFHxL6tmY21ufnWgqc9iYCTpWh7KG4qvi/It2eazH6HTrIW
eGaiDFHkvMxK6g7tPHm+DNuE2ujkO+DNfpB1zdxJ9w4O9pR6SAjdFfKbVbk/irq40oPAuDJCKL/O
rdOqx6BH1TIQRNezXqlL+6B38sJYuFmbjUb4b267uzItvsdDehR59DLGbeNPUvsaA4+tdYt+Iu1f
nVx+ljlXXfyTwG3y1iMBlpelT5lVWyTHnqOIDV5SNRE6O/jFU/ycYIRYDVlB+HHujBvNk0y4SAle
zU3zTfTNCzNMv8CGDdsL0MIURGQspNVzARxnm+kkI5MzE6wbfXwseOvT1ASMFvU65vAZ5QZuVtoo
u7stG/ZuujvEm3rufthl+70HCpMFOWFVlvFRqgRL0hi2xxyaodI8axswBt+KkaCFmcLDr6dH68ip
WcGdzLDvGRWWBts6aJ2Uu8DLILh5BV+EwvuayEm0k+bdKrFxSNDoGyNusLeL5otAO8GznTKf737p
l3mSbqMZtUaoYGACyvariO8IeQSgxQoYcIpkEfYF2MWmfhf0Qq5Db7yxerU3nRziUX4jEu+gadG2
Mw/YEtVwkfzMxm4fymrAz4sPN8nEN5fkCvAi5E5ZmMYAFLJVIKkYPHaTt9/dlHVlMSK8K+JSbhqY
Aixrab7bON8WSXkxzW5HusNTE3SHpArObVZm0DkaJpfTrZn2e7ujTXEHyad9HG+y1GQErKcvYUO1
FSWGH31wD2hPz6YkgaEtuTZYLbMTVPVFklBQIcNj2zI8n21hdOji6Gx2Eeyb8iWlxHJ/afAFGYpu
3fnW1c2NmSX2Dom+hIpo4EsLSU6sc1rQMHDxqXTsJBmkr6SAHKpN2f0g1LdZ8fyqknzamYipueVx
QZYism7TNWHIBzXXn1Vu2RtzRrdbQfLQgfgwhhXYoXhZ/b796Qy+awc4E1bUTRtkIfY66Wuxx9b2
5RACaEfROQrpuMcUf0qaIz/LopdZWI+Km4Bf4wf0qxbyUxIb944nXwwVZ6vAyu9MDZygMXtfQnY7
5vOLk9JTwIb6uzrsdio3H/uwQWersS4vvSPkI6S3bnaXkkUNJVM7hkP6FDktC+l2PIoJJuQimWFr
jbW2wiEi8iHhfjgW61kPL3OOmxOpygiQI/0KZvVYlQGDMAPouxWF5W4M44+6RK1dkF6ge8O8ttnt
+TkQqdMQQAJpPTx/A07DueLObTGe1npCQhIZPIxWtOlMbc8d6SRl1nPzq4/Y7FGkGCGY/SqbdtZA
qFQqCmcLzed7Vuv4GvW3qhmx+Zohrd7QY93OnkynP89c4Va5SXRlb2/rONgg9j5FZb2PG9XuZz5E
/jCzIHNsfQcJ6wezhIsTcGaPLJ4E+R+VUX+2cXRpx+ptHoONCwp/1Uydb1vGS4GgSiVIZkeG/yrR
927LaRq0W7vnQ0BYNyd3Cd2S6ZiT5Kk/Tu5j2UWX2XY+k5aDMrJEselTYt90xjSY0C8M6+vV2Ej4
iDPAUHt4JpIMoFnKOtAd6tDvTSLxZH1XO3S/YonZ0cnboXbWmyIKicAMCeOh7wFhtgT0aMxUdnVT
f48S48HJu3Rhyz4ZbvsSL/E+oFjGVdPy0SDByOAEARlDIJClPDJVUefy/N6BmWAL84qPZkkRkjGG
nXxJFsoT/FmKXSg17zIs6UPDwhNY8oiYrvkWK7iNzLoPtagbdbf6sMIcQ7xsfLXkGrW9whIoCF1F
tQy6lq1aMLL7U3htlm9Z5SvPuYauzrdsyU0iQHRbEKQ0McZD2vFuLQlLA1FL05K5FGnxK+qKH4tc
0gqzbAcobsc9gvdA9Q8GhBGfGaF7nDV8f21IKc7JsEi5GiHinCeiDozmRs42V/3sK9GTgiXdcDNi
cUdyDqnfijImoeUXlKlgo9vyBT+hsdEqcqCCXLwloeOsykD7rleduqu9/MJpDiz7YvfhLsSHRlYH
K+OD3iayIsAkLUJcmpG+jBbZK88bnWSV8Pz3UuJ3QcL/nFA8/B97Z7IcN7Jl218pu3PkQ+/As3dr
gAggOjLYi80ERlEk+r7H178FKqWkKCVVaTW9ZjlJE0lEA7gfP2fvtZGwErhcd/PPfQr9TZ9isQFZ
imJQSdtIlheE4fdaWsXRI4gT1PA+LMqEt30KCltLh/3+FfxOBf6tT2H+AReRQlsoOPgVWflHggT1
HWKRv4QLSIMkZSKsYl9/L2MmZ7MwA1i1xGVy6yNTJPKX2AnievLbiHIQvAO9vEatuY/JS0Rm2u4q
Q3npCxlnYJYN+2EpAeDYEZEgd9ugCOhjKAbuTkyrRd7FXkcsUyziz4MPak7pyYog6oDTeEuuoIDO
iih5ss8Zpt0YNQ4UnPgMU5P5ZEqmmyBosRxHt36sXWdZlJ8JxSfSEIMlPmPBQzIq0T5Lw1sfk4ab
2PaFlXASHTv1GUBR5wWqNFznlb3lGHGIy3HyZAJTpGa8ZM6H3rJMdwRGHful4NarjUE6x6o30KCK
+oouMH6YqThtDFgXQattEtkO6XU2T8QvEOMZBL0raIautAicbVRd6dgCw1E3HFuvnaauox3L7oOi
kOU1jMOxDwgVseaATCcoBt2YbcMiIlIw6cJ1WidrJu6XfqBMW0jkfDRd1B/SiASLzAiO6Cn3tkXb
MU4JuWqlL3Gc2k5UVcIBWLEZZqCNlS9qR+oT3C8Y4p1u1rwutc61IMdYwbwyxVTK8V27jGleF80X
1SpeBH+ug+LPn1p8oUrzGHa5vmp8Bva6aEnCotmqQVFzkMo5mFkJ5kl1TjJTs7UK+xIWNgS3TDmt
xnh05Uop3cgAEI0EX93Mqnqtzzg1kx7gh2TclCix91WPkoOuMgcn/yg3TDgQF3t+lB4I/jonT3Hd
pvImHSjvRujiuH9vGfjrm3xkPOw35KLYaeXNkTidqulOLTJPz/sHfPnlLtP6S6buIMbm4ZkrjzR+
0udeVMpZXlDyVMp0Ho8MovwkPLU7yT/ptfozZA0MaLWi7iKW2YdQyoRbic5GJZ/D55Vnz0hwldf4
io9BL4l9GRTNxUgzY9GcLYMgrUQzZpjWF6u0hn1PkI/lC68ux22r+aDXtWGt+fW9rRNxg6Jkqycl
l6CxVXYIX4cJV6jBR2xBaZKycL7RyoKmnooWQivFlVWZh1aZntOwStZKYlymPvYnE+jCnDFJQNGo
0ANyExMpDtOZL/Fc2ru2EF/GhbRArAw0MLp7EHaai5Z0Fh7EUwoJay3qoYQOWK84T0qo1HWXmnLp
5lsdzaOJ3xgRxudDMHmx4r+kJYgUMhjQMLTyWR92KIk7XV2zYx8qNZfdWTarbdBBUWP7xk++H2KV
+sNX72NICksh3XJsluRT6g/jWZb95LoAYLJNe2sCN5qGyJD/szu97k4areu/7/KwO/2X81znj/WX
6FfcqeW3v3V7kPwq2oKHsv8Uxv21Q5EyTZsHRw02G7FMyP/aoQz+BeeobZCK/qfQ7tsOpf0BXIYm
kDDMRTpn/KMdSlHZIX9IZjBxvWoGrXmm8DTUX9Mz33TS7dGQ6L5q4VECpcmNnLUA0CYGMv1UPfS1
NmWIZ+kpIviRBCFLyWwwMByqJr6Z4oTZL3ZU+ZjXqr7OOUSAYDSF3F+Mg1VMjx3DZEKZgrGaO6IK
0x5FnlOBm1n4BK/+QXSm1byjtVUHzaYFyx5eWS1xTDXdCeQmksDGPgdzfJ2xON7oDJ5Udkp5uuLA
mEUQLeLQK0vW7KJNmy0OQvBqRic+5UoPMGJiRvypZBKH9B3ayLTSaQ6kaHKqfJXATDjXkr6817Iq
vpeM0tjqtkJzW+lT/4zOTUAmqMW5AeeI1cGrmMkvtCLTx4eq7vJAzlaZFnensiSyozDz/pIuWOjC
hlH1VSTyfssKaMA4qiy6HrA+KT7tAuYcA07Y5lZkCOwRqbiUiE+YV3ObRdsU7tNTpkraOgz0qclX
k4z4X/VYLePSd3StS4qd1Wvtxqj5Qnj6R6m/b6NaURhy+D0J2ErHwCP+Ov6Yvw5DpkGbZ3tLcDY/
NpV1sBFyO180dR8/aHbeXNiiEV6Mjtl20kYPr7OhPNoa8unzQuLTPM+loJfdoFmG24FfdNUuVAHh
nFmRGt8naaNes5WkBFaZgHGcIZejdCtrUASQDwGf2XECi8d9JiJ9eDYHK3i2NVtsiJ3xScMMi4px
jcqRTGpIapZqsWYW0tyFSL/qs4qETBh+7X9Wrj+NgWhi/37lOk8fn57rn2tqld/6tmK9in1UzK20
gWWMfih6vtfUCiJfvMIaan7j1eT3RuwDzlzTl5hd42vh/L2mZmBISarLzGUgniM++Sf9afqi71Ys
1kRKXAunmrV00ZdO+Nv+dD8NmH90MZy1I/He4MZui366FEs4AdnwZ5lSxU/QRnJSN7VrraVp2nPO
vLLE8AJRy0OhrHOop4oJYJbKtLudTFBDR7X/uQ5wio0pdV7f5Ze6Dfhbxoa/GTjnWku8QliKz50W
XZn9fBsuAQzqEsWAeXk1FmFG3VXCaUPVny3BDTxa3pyqV1xrPbTk+dUDpai6xD3EFhHXDChPOUve
6EskBJm4X+KGqRVZEbI+noVBs8UtgPiRNAk1lGVPJ93FifX+fFRF4VpL+IRQ6RtlabIoBAhRoGFY
dfEOFRciQfgX8Jczz16iLFAVWRSipeZqCU33JfCiWKIv/FK/JqIXhaUNtFdzO9gzTrXEZODD3s1K
rK/aJUIjIEvDsL/A3+b8QjwCMRuib+86GeZeGTPx0zVQQd3EUdvsuxC15vQMrWPXK8ITGphvWw4/
BQqRawunNrVAm+vEe2DNwmgmzoZIHBerXFDUn1hxPnfddBBFspGSeW1qdM2IDen85EJdckQCw7y0
+IR8TiiOVNTekKbHWrcvzUj+nIwYxkfZRiCx5JPYYrjJVP0+JrhELUkw4VSke2UHmtsm3kSJrWtp
SSI1Zxl+ANyBgSiUmUiUkmiUEj1CsGSlNISmQBl9GAlRKbXuZCRUBQWkJxOy0hG2Am8YfdWSv1KX
gXDmJZNFbaoXQUiLvKS1VLp9ytd0MsQCc0e89vUXSEqur/J2BrJeSrHU9Hp0VZACQ6IoClFyYeaY
qXSdFw9abrJJER2TT+Mj/VbuLwWMA03sBMVSgdQ3BfI939q1hgJWLTawHvedOWHQab8AH8OTH2rX
Bka+IIrI/vGrc0UeYAkk/bjGhgZKSZpIsA87i9Q7i06PnXyKWz6kGXkXmKiGmXSmXhJj5Nq0f6fX
TB3yd8kJDobgqHbkDTX3abXTeObuM9ytxZLMEwZJRBtIJ9ue1J5pqO2dnywMZ9GMG30Zq8gdea1d
pcTutGT/RIQA4e9sbWS+VYsoJfTjyW2JQZxv+lc1mNHDmbKdgET4q9zXOFRJAURhwo7hPnZXMoc8
EoR0qA10he1FcWaRLihye0M4MGI0xnHrdqjTfVTqws0gX7jloN0XvRG786JCSkNu6XwApRtiDiQi
FvR8BPTPsscrq0T7BpLhbAznL+rrqS6w1jDKPRkVXZdkyOnAWro5HGb2sADslDiOOr00NHizbN1G
aPJCi8MOaXAe5fqOrE2nhuOZouIjF9pDX0w0Afo+Ml2xE6P408M8OKZoABPdvOLTVTakxB6bGIUW
akGbEOVaIz468IfPjal/KgrtLpPpJKgoDeOFCF5B4YfRFH0yODtjrMFtCBzlOCxSxXxAtJiEKSHG
wEVRcK7GiENs1RrYGpE6qpXk1lryMqGBLGPxqawiInz1z4ja6Rtk4sxENWl2hezoVag5GoI/hxBa
iYgu5TNZKJcWqku+POSX8TzgmxQ3Wd8PPCGIxuEM05u1grW5qHwQd5I9xwkc+bIBvVo6CCRBTaju
moAuaYRYKEY01CEeIn38wODvJFlURYxGW3wK5HX5fcZRMWLa2AmMZHoGzMlHmiQtNPnCruB2kJbr
QGc/5ouSiUhXAKOIm+bAf2RQcBIiepIW9ROHMwB96KGmchxX9TBsywZiKKwfIqmD6mkomAZJNWMc
5Eo3kQWKpSyfmOYQbarKGamwwFxy9UYsuE6/5Ntg4Och6JPXlm+xbAw7kRF17ZsdBHV2h7J9stUB
l2qWcq81GUoUJ5UDGPu1rEwopAjydGGuNB4t78Z+ULOmFaf/Ocu9nuUUzlV/XxEdOMf9XA8tv/Ot
HuKYZiqUvhySaAu+Cp6+10PyH4qtg1EAAbyc0970GBE82biQbIWz2jLmp8D6doLT0UJBLZLpPprK
ayDlP5jXC17ZDwc4RM8Yn5fwS2hHzG8XqdSbAxwlQoAlfW6P1PCkmZGCRe5WqKZrwa6zEb31yNR6
8KrSCElqmGNd2meN1bHhi6V6j14L+fC1qNejpsSy3cWD7JavhX+p1/VwnnMcKLUkugZBR7ARgwNO
C83c4CoMOUGkBiOgfAo2peyjsArsofARhC6iLFWfQ4/AcPQllTHW3U73pYyQLaUVaXOfheRXlZwL
ZxWancaYNGo8lVapsqf1ORdXwYz7cBNVqCbdtgjqja0F8pqzFUreHoNHXQwxRcJUuUOFXLpPTMUd
OGxu5MSsP830UJRtYk/m7GpNN5GIodpoMNMOnh621iV0M9dLCfxnSSnWTUhv16VasM6aJo7rXJTw
9YiM3ihYOdqrREuJkjOJwzkbOempm4q5LWSUpribB92GJ0DMFnEeY1iIHaxfTXb/84h+HQZ8KKr5
OgxwHuvPj/Xjz8+q/kZbQwwswhl9sVbbf7ZU3jyrPKAyYwJ0IjyzHBu+GRWMPxS80DYKxQVg8qp2
/Pas4r02ebAsTAccYBbH9j94VmkDvXtUl4VCxaCgLnZtbXmU3zyqWqhIQztl+jHMHubmOI73b1au
8694sf+CfHVeYOBt/v0vzlk/XQEHpqYiD7I4hxHh/OMVOp/xv2+M3bGbDVdVy5ep1I8pShIUZC/0
YInMrKN1phO+qUj5jjPWtq5ihLtI82DvFxtsDJtcsH018nXchR6isS9SitxEtU86AwdU0ybs32F6
pvSKgTmpbyvtLMiaAsMFR4CAD5GRPDNeDA/T3DiDbOzGsPFfBoPGpMYjD8skEmudPLcvlbrEqtCS
cfUG03XNlncXp9gN7ER/6sIx81pFBCsE+dVBYVmBEmidiVJIbmrVd/SMWEnUJU9P1wc6z1Qfmlq0
nlLD0Z7q/NDX0UOiqid43tEXZtMJFstqm+bFFtrIjAKyuvaNdKMxtLVCBuB43B8kmc1X0ceXLJE4
YuLWajIqqI68lqBsrwQje0kud1plPySytM3Lbt+Sc70yuuliTKx9PI+cUeZ6rbTQlYR49BUqHvKt
t4EtUSRGj23jE/8gdOxM1hZf9plENWXkAxJv9b5Jgj3UR1SJxomeIzWp1f401TgHZZpbl9XWJMEa
87b9KY5mxt9Jeo6wIHGambltBBa2UtvVJMV7XdKv21RJHHXWmOrP+lWk5cUqbMbQ7axoN6WMioyY
macfmxv0IA0CreSh0213kMFiyDA4uA17Lwzy/Ygnzdb7W73QwCAbR7Mx75t2Pksi/TLMiHjp/Gwj
9P40HOpdMQ1oW2OgnROJI/ZAA3o4YUe6MpWCbmKc3sLx/KT44tb0O6+ozb1FNo001g+m3uLtbO2N
pDX3BW9enbIRgfr8Ba8MMVeInXxmX8l4Ug4x2KoqALI24U1orYYsUuE7gSkeeAq8OIrvA58W4ti0
sSd1HbdN9TIV8dZaEPFa+dDV8r0kyVeNWJicfrzuR9BdRvp5TvwLSvkZUX1wwnqeQBGHYalL4jqc
kenAEsamggJezrLPtkIXUirDnq6pME6tkWz0KDLp0Zc06Q3zKrb1O07VAXmeRH2l5fL0xMOVrMQH
qYPaqlZDhaNlZLSkGJejRcBSN3XpARrJ4n3RGtdOSyi8euS7Q2MegxapXUR2jWxSOtuVb33mAA/g
ldIAxRXDeJ7vuvfJCZgktuE46qPjWEeISrGOrm0+CgdifbCqpSRh3FWEa2IJa9S7EpDBGVNG3vrJ
ZWGZGBOzTj6UJtLocCJipaoP5NSelXrZ7AjDYg6moR5T1KrZMoKNXXRaJ4RUAzdNynyjzAZUo9nm
SKQqTqenpVswHlHJm0zPRCrTtSBO4GJG07Lyfab+8/Sp9rVHkVRb1rfTGC7uylZIV5tS6cRPVKA9
qWKQ02iMqzYtsqvCgLiD68ZPb7skvxx68oYwoJ/p+FhZWVZQhtdI2Lt1UeYHUQkWRIUXLYaLvCP7
usRHzBq1Dyp/i/TOjft4Vc7tSRpLm9AIT+VUvk1Iv9I6eT/YfsqELHnQY9/AddOuBss3D0org1nX
I/G5HCR1RQdmyRSohuw6UbLB6yNto+GEWmkzE8nQmhN3jqL6dLaSo6aWlCbNhVKZyK6bxhnJ/nLm
wViz5O1Uxe/cQDPrXTr1N6ZUXoPFWHW4WdJ1U3ehOw0wFFlzuv0gm8VDrreYyiPphakXsKiOUGMu
h8W8NPUz/JKElUyJ6LeoxvtNrqPAYelnrFtxBQAM1zmcKoTVsr3vpjrG4RwccwpiZpqataOhHTp6
Ia6NqgC7rMcMwjL6G+tJ932Gd9W16SP2hIV4N/s5WrwO3I/RBQpql9FrEUBTGcKkpSdQrFJ+0al7
o7sjCYfMMWuKYHqjyGFXCtut3uP/SIbS06ysXk9Zcb943XOi5UYxYaMhiGgS+6SabuQwdvsIGWZR
hjddql4jhrQP4zT2u0KK63XhpwS6UMsSIivfo4KEcz/q1V1nEvlQFhkg/ZAbnRQnDtq+dqcuOZ6+
aoye1dFyjjt5+lq+PY3/N3gufrE9/0hXYQJELrMJCpveNmncoM1+3JzB96EVCOL82DLNN8Z5Z5jD
xVA33sdVAO7Jt2XGt+uQeU9yicZj/74IaMWM4D3E+Z6mp3gUb1iVzi3ggSyXNXJC0qHqKd32Y+ml
VrJt1BD6vwryJD+wUp0YILViO7nA/XZpgvnT0GN19AjzwH8uOrN3Jh4BfbaOphxQrn0/ev1PPyFO
RELRQboihP7xEzKyrohaO8mPA53CYLqW42wVFl8lNX/7NbxrIPP52GIBTqhYU/mMuNF/vErTJSWO
gK4/lgE5k9gYd+Si6cg7K/aNvqcvJ/V3ErLXi9zmHrTl3WBxOC8mCGe+BoclzrxQmruLLtTsK0z9
q64AaQySkqeEODkDT5xjFMExkqL96CNzGFSeGzMjD3taVAiGkj4mhA1gLYs284CUr1FMN0wjNBat
9iQx8FkOS9AiKyDOnDFXRaVtYnKbwX8SSzeF5q6a1edIF48jPcLOoB9BhtPphBrAEWKStrIyxKdy
SBz2PNKPDRQEAaFN+1GJgk9+p2TX1WCwfyjBiZGVGAPNst2ayoC4ji1Ogf01xSJxS1k9Yw6AyBDh
HOt9euLLj53uEcK4Y128tyTaeWJQtlOs36daHbo5MFcip2qStOX1rFN6jDxmtE0ADYxStq1b5FaZ
MgKl6x+TSA2fptTYMNnOiMYNTzHdo6ZoKi/SaPNhj7zMTDM92p3iKAg6D5VovvY9/vZ2UH55P/BA
MlNFrqMgev/xfvAJq8v5N07Qivqo2U22nss+PZoAMB3W04egwVzJ5H+lmOQzRK+98/SUT4VWY5iI
rRo0p5DinGFWT43CuqMfF3pNZlRe18kklRgqac0RVkSA5ZYrF3q2VdnU1ySQVGurxkCLzf9SRv1M
v7G6CjIAmkpIcBne3Ibe4ULKJmojm5/qwny0USGtegUtaZ2pN6Y6UTtztEWBskb/Xq3geSRMGsy7
2DIBC6lfTDEmDjFbN5adEv4wXsNsPUFPv6oKDZrhxB1CgMakXqFGPE3i8ApTzGUm7I05tXcWBHOH
ulF2cUVRC1a923QDmhIDeYUWEwDpEyJB2vijxD2xKm3tXtGkOyUEvli1s+Yi/vP6mQxQaSzI16k3
MnQHG0+KWhD+GfbopVt5ZVnDQdAYJ7sVmxTsAEKDrrVlCmmNu4ZJsjbIT5VWP+bCdGm0nyawl3B1
nUE1OxG56Q2FTpRFhEAe9rFqRxdJKSW7yZrdoplcM4XGVlLQoMbiXMLD2Ev2xVC1LygzfFQmMO+Q
UuG9SVYApdYqERCKYp6YZH5FwCNwNQWZqwcz8FkqVBRFJ2S5usTK3hawhgMpOkeGTK5N4amJdMjY
xcMBOoKSwktqPJLucntHVKCisGum/uC1bO+Q6Mp1h1uM1ENpgwntMBMYL2xG2IMSDKsGtB6mHwVx
CCGdg3UOnn4b5O0hGKqT3GIM3yImPkvLoSS1Ruz1gCx14oJI6hB8N2UEKleOt2E5nEoNp4SULCkt
cwtIKit/ODcNVxAdNFjHbPRM8mv0rS/621KWiN6VT02jrt3R10/icGgwI/j+oVN7sWqYza1E7OcM
xWhcUjdsi6lt1pMptnVPFSIKGuOCUTThQcpvtrYfR39fV+43T6r2rtelhvYU22XSQYwMnL45JfVk
NaKZ8oezpD5VOLF8vB/9aIX5+XrvdlI1DHNOF6wMRfEMVbAfgZec5MHdoG8/vtCSMfamNfD1SsxU
dRVDEDSDVyHhm9bA0ED2i+V+hFg4BW4ZjQjsfXWZ2RS7sJC458b+gIYWdCaqxVOrsgwHiwXDnBii
9MDfXTWK9AIS6WLMNTLvte4TatuzQhZXKeUbp55V26gLIn9c5y0ZjW30kMf6rYSV8jLogP4bGHI3
mdEdjFh2KCzciSHRihJvk7eauLVV+6qc0zWdlH2nMbrQ1MMcTDujtM+GJDjUbNtCws+tgnQGcSSF
1mosldusrN0o9XcMJJ04HS2nNbLHWZ6AVw/BfTXa9a0a+C0DMy34zaf6Y7/l5w+VSfbbfguKrZyp
rjUerfEhnD9P1v7jb+13f//dxiFLIJTMIJmANVzBEkXZcvPxBX6q5KhU3twV5rv7D2sSMmY1mI6G
eh7paLtbVwYT8/FFlk/hL1T9t0+JJjUlKTnl5vIi3tx6o2gGQpZ4F7a6UtundsioSW6iUfzm21g0
BW8uhBgW29oyu19YhZSmyrsLTXGE1m0u1SNlzBOb2vo69fw1gxgnWt06uXO7M1f9yedL0kg/je5j
6k6feaKbrbb7+A2rP7bMf3qsX1/om3dsQwnEPsoy0nr9Wl7J7njVbbILFOwuiO7aUzZ8zh4YIwd6
lQt9G13NMX/6+FUYv3oVb75c4x21hHjx1EL4Ox3vxp3qIpH07HPhnDW6E643t8bqxFxnG/uI222b
Xxnba8KNNuOWdc+ZNwVD6TWts7W9lk66bb5pzkIGlk6w/lQ43VFeTRtjZ+8I097WN5l39fFLX/Rs
b77Jb7fMX6vVuwpaUpsoLaWI+9IpnNJrnkuvvFbWTBzX/jpcR27uZftic/504nY7MoLGVbyHMbiP
j8GKzcfFVfPFX336+FWpPzY/f3pVr6bxN19rFBV9LUxeVbhjSLGatzgIrnPZSaDcOqaDxHQFeXVj
Haut+kAjzf34+r9+WP96jt6tNiw1MOrLaTzKc+GKYTjMUkI2mPyn6PJvC9ZlVfnoeX236kDp0vp+
TqcjNbXTD0/yuB3Mz5PmVnJLK8r7+F39+qv+/q7eHyYlkv80o4o7XBwJJ7/LMrj4313g3ZlPG4FC
m+SvHBPjoMb0AW2x/vgKv/liXidob+4LKSutXCB3PxblsSFSvVRhfVi/KRV+9zm9W9waJSWnWsTt
cVy+lTld2WO8+t+9j3c3WFfMTZc32XQc+nEVmbAPxtWcnX98kd/cXeLdqmT6gTTRnGM3GM2VbqN7
TtszTetWAhl1PKjI7P8MufnbG/qX3w9sMIarWIvt9/gmSyOpooza7qgTTQYtQAtp8m0+flu//Hre
XOPdQ5MS2itVoT4ega/Qv7/Ist90FX53gXdL4pxkoxYXVX+UWbRpRjMs/M0d9ro/fvTgLxvKm/s4
JEkFdBT3MWcDB0r2vt8mpxwRVnvQBW5wBrXi8PGnhnX847VmeddvLok6VYOaEbJH3dEYzllVAdM6
JMg8KifzrnfOZzKT2boNlzRDx7qQnMvWXXb18/vqXNtzagfk7U6ts81X4eZ3L++XG7mpf1+czHc3
qxXVg4yJsj0qZ8tGLjnNJtV3ubJyko2+vs2dvexMhxf5M4ez+mY6DM7wm9VLXZanj76Ud997LzVm
WNkTtcS6X89rzGro8uxDur6Ea3+ibbr1ver5Tk7H1oOaucHm+psV+ncv4b0CQBo7SWdE3x7B5zik
QKKj+WJ4ylocuudxW7rZidhIG+kluNdWuH/PwOk8/+Y++fXW+/2LEO/ukwTAqE7uMLwPb/RgMzvR
UtXtktV1vxt3OzxJznwEO34re8U688qNOEcOue7ccAdm6yH9zUr5qgH96Vv563E33h0ULYm0TY7K
3bFy9Y25MdP16M3efBIdFOcJh5CXrKxduaWpdzKuxI1LfB9fUbtJvKtovRQJfxYH/+eHRa55nQ0/
FQSWRUHYvvvf/74uMv77f8vvfP+ZH3/jvzfPxfExe27e/9APv8Pf/fO668f28Yf/IZktaqeL7rme
Lp8bmiTfptXLT/5P//HP4JDrqXz+978ev+D7Ila1raOnlpv/+V2oyLJKfW/xLlf58yeWt/Hvf508
JtxKv/qdb+oaFZuejs9OVyw61lAC36iNoWHYuoq7zyYghJ/4a2IPWhBsIDxhwT/KjPT/UtdYf2A2
oyfJdmJqBBL+M7XxuxWQQ8tisbA1aEfoq2U0Aj+ugMDA0XFUuXGW9CmhSEFW+VfjiKF+a6pRshmW
cIdp0a5yIl8HUZru9Jog4GU0tU38rNhlS0DEMCxZEXFqyd7YTZBel3wkLVNOrCUxaViykxLGrNKS
pvSKpxtTmY5fgDOVOGV7toCG0RlD+xys/ddgJhOPUj4OB9KnPMnqF1Zq3F22fbNT+9F8SEcM700c
Mswl1jGVi+2slZtBDS4rBSqnbIIMbNS4X+VZvW1n5Wg39jMR3xeRZp0xrdphkbyKmNxIRXMnBVZ5
yH3CjEJ7V4d6tGMYf5e22CGk8CpTjZsgWiwWFkpSPdFKKDzBPRScHVpSN5b9e9JoH2mWIw7sK04t
bT9smhDuGQ1sOg0autm6FHSO7EOlhb2T1OohadJjRYKaQ1zQaZXpjzBlz4jgemmX1gei5tVcDGQY
+SW+gkSssqLdGjacD1ZgW1FRHM+4fBMiHEWpKcwBp/3sS3dWvQhRdX8VtvGuC4C70lGeXXsKHZzg
I+gOnzbZUGwhH90naJrg+9DR1+rZC6Z0XgVl+NRkNE+nEhdmrkwbkyY/5YW2ySz1mJcYtoY25QxU
159KP9RdrX5BiitvzcS0XWjoEOYNc43S7EUaGxISbfusSrsKMEFE6oiorq3aIqacXm1i1BcpMnC7
r3tHJyQjbkuxMhbV7ygH08OUg1oI9C8CKtIyvbQBD8/3el3uiUp/GOX5orKk675W7oeS9Ny6DV9E
ptPpGxLbLZv4mIlpmzSjTdasQnHXDc+kaJG8qxgA18vAi9XuaQpreE2G5ok+eZoQopEpVRO4q0Zm
87nHDnAC9woAfNYRXNFaipGuB2PSN7x/YsMnBTGEb0QdIchZPXHItQQB4hmrwRohT26TusIvJ8sn
PufQHiO/hSTcErshkSGLkZDpMBH34Xbq5bOZh+FismKxSSRruCiBQ2HbV/eaFmvEiKH+rPidOSql
M2CPGnEwcuFq3G3YiSomEYkyycz+o3GXwZ93GGdGe8saZ1RyxoD1PmoZrQzECPW9x3z1yZKDM1KM
C7yCyqnWVQCoscBOjYA7ksbHyizRxSi34MOmq1qRkvtcgbqrVllzroGmV/yaZJeWGxJ0S+LmFmd3
vW3RJjNe0YCBORYF8SZT0YWIHNSAMjCUynSdtB0O+EKaThMVkqWdq0gd6pDhryk7atR8rrsFCVzC
JdTqXW522iIl2QMvMfZKAKmgWBylqpXXD6qoCLXJrcHtYIg4egRgMQ8FocBZXXoMuciTJ5PuqVLU
uzjLfM9u+NmhHqxNPiNKSBKmM0UG+bCRYnnTJ3AEFHX5fn2T2ZLuHyo7xE06HFHoxoAYun0M2SAc
eNeyRBUSFAdlooue0bsqbMJC47lGB2TTHFxA3prV8Q1xXCLI12vjcPKynE6METG7jkkIJ1X9YAU4
iwag3JGR3Mt9vemk5grKY++kKSYCJCduriSnTVcHiGzRN5PDvPHLcmt2zUug+RBDkXutMZfxwCZI
o5FpZNdZE6cndtjDxlykL3pkw59hVhcgXAd9djuZuTfo5aHzreexUBUHycEe8RPQLGXcCFP/2lT5
T4WAZu6DCuEqeq5/qerjt77XCAt+GBcltGADbdsPLn/lD0z2sLJoJ+rq4i36ruoDi4X9X3DTL/u3
YfMHv6n67D/4IxCulgm5ysP7j2oE1IM/nAGoERD00bNf0lOQ91Gs/FgjzMAqQrWI5DOqiMjxs3mJ
ZX4ogi+wSWfAxDz/+Um08EmjwVZPuJVZcrG9mEBMu6r0UPJcpsBNAd2u5IV22iThXV4bm6oUl1pu
nZYLF7UR95RRaIiWmHvAqa0hGofZJOKgoMOwkl+TVlY5IN/TVVUp7VqOynsfFKsJktWYYhfTyOMc
ssyAbFV1CUo3ENfQyF1aFWKVkFrZdFXmxABfCQfdDgsBlunc+QgSNkboTibHiQ0qFsVk5iTAY6Uh
v63q7hNiF9RX4GVrW/JmcLORnQiWrHJT2mCKYQMxNsVRAZKEARe42jYqnESa8BWRQSIA2tZNj/UE
xG01qGzC7SR288K/HXxyK2XYePEgbTExIN+ho7/tpGlT6LRNXzG65uVQwvxqs/omBbSbLsRds7L2
BBfeyhnrx2JbLOXxNFgovUOAfNAA3NsCSVyNoHx1kL6mTY+wAvI7KV8akL8B6N/JMigwFhrwbA2I
/RhIp5UGvIvM8IUcbBvKzauJdZChCku677ULZxh/mgk5YYJPM20YbLolSOKu4TMLAijFw1dicYI1
tT62Y6uEri/iYtMakTEe2mLZwfRSbneFZQVuKwh9VghvjwmPkWs0TJHObK1ptNZ+/P/sncdy3Eib
RV9lXgCKhAeWU0D5KhaNRIrcICgaeG8TTz8H0uhvSa2/O3rfmw5FM1h0qMzP3HtuNtSkE3Sm1vlW
Cv1+NemjJFmdWCpEUwbG26iuvWoxH/U1XrdSfymipkbuQpWi42giiIX4aXar/ji3L6jxDM9N6/cF
aEFllfgsv4hEWBwIJG/e2nOFLUu3r5RIc8ilrHgNgSFGiT5nk/FYOBME7Gm4w3VP3LQCfN+ozVcC
1981Ob0BxAQOb2f3IemDS9UHzmiSq7TVjk2hxGtsP/raMBd7m8462013RtQ8OqnZbXTFyNZm4DzK
DkBRZVgEg9rja+to46ogo4Inp3PJ22kdTxBqcM5C5Sp8zGDchORhTsmrQUqqmfO8FPD30/loFcU2
KaubQQcPFGGuqQy2rhZZaBlAHdKWuAaE9RBAjyOfnUg/Fr3hXN/EQeZJQ2lPY/sIhZNcMElGBb7o
OfZ5qQlETuorRGpjxs9WihIh7WomjHGjRVB1VN/2sgz3aRQdZ6u4mqnUqAWAPhkNUOUBClIt0+bl
63H6770Cm+Uv7pXTc9u+/c7ZwWd9v1dQi7sLMl7Xvt4CP5EYgTQu/9thAbdgGul8v5MY1Q+0qoiT
TAAxJgZZ2tI/7hVE5xavSAPKWAolyff++/rbdOLbSOD3cjGouL/eK6bKN2ZizSfLBkX7L73n0LuT
UpXWeMHA3drrCCRggrmJEyGUMQR0LTh2c4oIWiJbSu/VXkVzw5A17vbVzKp4GkiuPLXSHed1Mmnd
vEZZV2C3HgvdMl8mYrXAIVZNMK+7sOHggUi7m5Bwuu+uyNXuTrZt22yQaxuYlSQecrJRyuVZhoWL
eaK2Qm1GsJuOeBxnNFQs/vtwUte5Fjbz2rDVnJ2l85WLmqrbXpCBvG2G0DA/ZaoSWVhDmz0GFApZ
yGKQHIFK7iZd9sn7qDsTDEnosuswTIAS6MQL7Xirhgdw+dmXOCgs3w1HVVnJSg5rJWssIsJi+r6I
A1vk+BYHcL5fhkWoMs+5vu24WnGm1qGxNWX0bo2KscoL550OGodejsDDrvhYpSQoeoeeSHm7HI9R
WLXEfFKshzG3HMljcLYapfhC5hHaakTejZ8TX4V4XSGYZAk0U2UsdsQF098GZMWrzoKNncvwUDVK
dm3ILOIOV92tUxVvqY1MVs90dv7RYGxBtMRrQTwP4wAbXZDZZ9ep6FsP0x8RdKj08roe14A1mQw4
+ltEwv3ObDDd98AWcYQa9bop8aBiTf1CGGm4s+as9+janG3UNO/2yDq/0mi97ZyBgj82IdOuTrO3
ZZm3B9cUia8pUXLme+a+Kq3ykKL2iftE+MxiaCXsUd64bmBuR7fM0QLh2izHPKXNNRy8rNxNxdzw
bTr656xINcrpJIQ4bxBVuODiSnvB0lUDdUqpJ4tRtb4JZU3OWDh2N3ZMpztLtVa9WcoU5Y+WbWbh
Tut2wGDQGlO1nlS7R5IPOSaYinRHXmYEmifJd/8em9/scAzJ/2JgV7b/879F+Ja9tb+Z2/Gp/zk7
ccVR8jLeQq75J0K4CzecqljnaGVO95+zUzc+OByqFmhZQS28DOf+c3ZqXw1zHKumxpTN/GfkLeZ/
P0zll+mfIxjdCfQG6PlssXz8h71F4ti0sYWbXMHen2GeBtHWqB9++MX8/3n9o9tGc36e/X/7KkQl
okan96DP+GX9UANVwvtGxFhXJnHml44owH420vECXUvXid4C02RmcrJDEj76KiJ0aw6OA2OtW1FF
N1nsbDUzik+jEMzkVMX0VAdyHn4bVAkhs3Et3/dDdI4Hd4dp/STm8aaV2rmeSwIo9Atev4NIyBPN
BwrPRNTuxl6Ol6BH1hdr7qs6ReTtpKhpky6d6Jf7d6pM6FmFxQ6+CUCYMmORiEcVdyXxLluHUZnZ
m4+Qd7uFx5EsZI6pn7k10q4gAFIz7oOF3mFnpo4RVUFBC2FmG4s0QsNK0Z+tEXoDZShV6UsHVgvG
lwUCglugI8ZRRzgsW0kLvbBCCEKLolWnV7pzP2u15Wco97eNMlvmVi3HCaZBpXLp1iCc8k4GKwGw
5uLUmnLm9St/CcBI2YAcS6XYOnTxPlGsDZcABsgGxspOz4z00IPqdq75eq3+ZMrQJmVJlkPJNarf
Amgyp+tIXXzPoXSPbmPZh4GRw6MgQPthsAENOpkkb7AremPvAGhvsBmYZOQ63MiWJ8bWJaEFJ7eF
m3CtoPn0tWoi/6VHX1eHaKQGOJZoWHt73fE7J2djbp9bBriTHOgXJkcjNSLeKxoGcpakZHnhmLmd
B2YpQmZrt1TdW/DlBM8mZLc40gV5X+Vg5VPDH0oWPXX84OSgMvnTDXC/4nndQBRmwMu8aMqm+GDN
eAZsRlFbNIOqV7jB4q0eNMTcdbu19GE3GgUZE5PW3qAwVrlh8nNcZOehadFyNPGNUZp7J+oReFjZ
Dn9a6oe6uG7d8Q6/wvApHCbnvcQN0Sapb42T9V7GPTV366dBrX4UCrA4q8MEU6bExeSb1GESNDER
Q3j82rbdG/KJN0lEV42mlGC8g4v5iwOEYnzeGpM4S2egKeh2GGpP88IUaoYvwuwZDSubbFS5f1C1
9/Kl6AF7lC+B6FV/tDKdWzzkmzCHR9OKv2SzZaytNm0PTAWhR4zzScu1vR5qZ6vqfaJAHiv+fG2n
Myty7HUwWEDunB2gi8cpaNdhDiW4FjWtbAgBvi3EPjHVxFclQybbvuZnvMWUgV46nkNmwNhwjEHE
58ggrgp7102XFe0Z4ekx1CYe5k7dZjXMpDTgbnRyeXR5EwmUsRrK88lxTk6ln6C2Pihz56Wmfddr
4Q2cpRP5AmBE3VPeDzeRywRaq9YazT7V0rTSJK0zuk1ktA1p3GEjrlIlfSpT9Ymst0Pcpscyw6nW
qzfzqPqZVvjgLM+mkXh1VsvjbNvUYhQJ+H5eahTO4Id8t2HaGU00W/N4AFgkkaAXxaEDKppLCG9K
VGRkdQBJMSc9hVJQbZG1K7ezVOq/2XgiKfzz+Y6TEmgseY981PnlfI+kCg7DyuKrsiZ2aMhcubYH
mfp5PmSnLgcIZw/BJoTJQtU0v6lV3d7UdSo+OrMDiHyabvsmOYkp8FPXfhBTt60j6x0aagioFOFr
mJAMw9R+U84801kQe2UAixvT2Yy/hxQI2+l2QwlY1Z57L07ae43w3PWgdqQkQR6F/uuNtddOe7Vi
FNIhl1WTBhbscJ3B52hz+1Vm+V1vJwe4Jse5zQ51r53sqjzhZHO33ShLv5XxTpsi02sHiICgJDcR
0ewh95LfivbWkL3qVZF1EJHL+xpn9CnoVMJWmukTri8DAjJrBU1qFyOeC6LyLOJy4/Q8VPNV1Cb7
dDS35ogvIAbcERQpcnunIWcSbgVxAWszrE5ZmOMnKLRLnI1EMeY77rUGAjG4qlK2mzJpLmmS3Ro2
SYJDMWS+RScPVI9ir2muY70d2EYvZGhS3AxpkFY7xYSA28d44GGaeEAdFitkwb3CUN6qFdYAQ2XW
JP1ctzz64t3IOaS3JYlU9knUgkGEq7wGWAFWlVavGPBOK4gi6l6plrOsO8W29VkT2UYIhhYOI3mZ
a6rHJCYlCyS86LOp+kUEH8eoEmen5UkPUVwfj0A8mnNGJbv/6yLh19EghYhl2EwagZOSj+b+UiIw
7B7J/sjjK0LKGBEcGrwAf/0VFoHBT6tuHUkl+0mkprSczkIu+LHUAaNWwJIOgYQwFlGsS9zHu7i6
bUZy/poMnVC9cZP1X39NGtC/+arLz/1DgdVXaVcZuqKchUScSGrcSvIPbsXPdHeguF0yNTrHxOGp
E4BUpAyGOjLMC+wxQotLr2jmz6Vin+LOEB7QyU3mjuoXJzJsPxfJJwtyr4+y9mhnxqMVpBMxTLrV
8zQV5bqf7WLtVAoe5mpwPLuQct9Ptv6lLBK4zfR66ziOXzKeVTRxVuRzAku/cyzh0VLfYUWcWSCl
n9iIQE4P9etIdq8sG3ZcSh/him6sdmxXmpnsdBEpLDCpUOBlFls598Krc4vdxAjO2o6nWy0qGDzF
g1frIblorjzy0OPCG7VVW8X7xlB2rBs/TnPyYIj0YHYli7iUYi0OdHJKOqDIVm/u0zk5snH0Cxkw
j8sEAuwg5ZQVDwNo6FWc5BiUp23RYNAJZp5ggVMoxBxFb10mubOq5sTxmyw4VzgNQ5JN1dKaPSec
7mAsUMBVyse+g+Gs67gtAJVsGc8RR9eXz1ZYnxuRL1EJXsM8ctWqIDYHhfZZ39ksrfxKVT8VMtpN
wTT50OuuMJIaflKZe/q6N6cW5EstlkvT2IaVcbLJ+/qbx+3vnvGlEP/haRsNSgxt5mlLTsV1eKVs
6mN9P25x0O2sE4TbyHthFMjy61w8jX+jgfpq//nzG2zZMFiaBshj+eZ++OKwH5widQzlXPnmqjhp
XrXpIe0elQd7I9bi00XxTg/DOmE9/8x/sit5EqtDvAmu9OpvFVk/X3wcILzbdZYMJinxtFG/Cluk
GNmdqkl0FYnrColZLB6a4Vvr+5NU5cfG5ucz689fgwHXjz/w3OS9EkVZxOX6FjY7V9789Z/ztz+D
jZbCXuZojLh+fv18Avgj4prLW7muGbU2JjXntxPq36nn8nj+9/b9ggMqfPtz57581g+du8EvnWEA
v38VPtIfihuyvQBj0NHSopsmQKE/Onf9A8JMi0oLn5xKr8uHvk899SUUfJmS8rJMBNCn/ZOp5y/i
cqoXZv+8PhljLiwL1fnl8ast5mejLYIzIc/RWp+zFGFD7wZHZarFsbBbhm2KkP2TkUSHOJCPTqgi
Q7STF33gdldG+PE7K8ryYV3rmM1EVTM1AggQelBbyns6Byoh1RUttiyC81YM/IAvjxX2MoNS740Q
pwCBQ2Eui2NkFwWpCQXJh5uoj5N6DWgUUjIYrGEDy40gXLk0zy5ddPu1n07jit46WdrsiZGbwiEM
cJsW3IyDYRXRlWPkklSXNOqKnribbGne8fBxbdLPZ716qejvW3gZM/2+qs/Yc0H16crJKLM9Lqf9
FAdE8Fi4vOdlaFC2A0G7gDtP7Ea2olKuE9xEt1XgHLtl6ACCHEKY26qnoi1pXhWyIKTFLLlh2En3
2F+mrr0oKeacMWRSJw1AZmU5rknUsFh6WZ1SebEum/dU7+7iTNzRGue4ELOuuFZqktZ1g1AWNplh
ZUWfgS96dscQBM7FeTAyIMkl0pM2TDytgiqulaAbQE+7Us/vFMscN5XDftPG0uo3Tb4t6mXckVnk
kmElC2bb8jW1iC5DOBKUWSUADMx2001KeWvB6nCtxSsncZy6OOgrjVDlWDmr4LkHC3CJ7CvjU0vA
mM0+czE+A+DCd8vcO2f7NxPNU9nVoxn0C8tAcRmbFxg6vRYf/PaHt+JvBka/OfeWlbMF+oWCinLj
53OPOmIUWP6TKw1j7kbPRu2ZysPxRpkyN/r6tf49/zRuq/9+/p3L3/GYl8/54fQDjWljktUWWOly
+nwnBLEOssgmFAbDR0t8Xcd8JwQtCFOOTOA6xq+EIHshBFFhAwBzCSr8Z3NLlI08BH9UG2gJHEIS
LYamnLY2Eqhfyvl2plbtzR7Qh17MJzLtBALr0olqgyRd4tqWMIyeXkfhLMt8pwvs8gyPkTxxDidO
kM4U2ZnwKkEsucbbF3wObw7FwNTeG4m7DhkMFeBgRpP4m5FQ8vBh7HOlIhcmNBT2+hxm1b41GliI
7mBa002f2NrKjpQy3BDWrkDWLx400dPnGfquK2xn1bZDt6oHujMS0WFUhEq7CXoAQoV2bgqLgWDO
3EiK20LGzUpVQYeUhMMAYTgWdXBSx+ke58xiYS8D+Hz5tq/2WR4GpD6xGoqtJPYg2rN3mexxFTvI
xPpgpuOc5gd8yteqQFmRofdS+pb1MCvVFcUH/urcOTSFfNWmbvLjfvjcTaaOgz475rEw/byU121Z
yM1oDTSbnEgeIaidp9vz5KcdmmF6G/L72CIh1NLWTJukz8ykxjM7vCrGdMyUGFpLE0B4D9TXaapK
ppQwBERNnm+debmaEUurcXYiBmQkC1utHk/wB3pviAeNM1a/Uwy2vnaPRjwlnFXJMbMSzLg3Ihyu
k1FeJVp5y8qHBNfqCFfGiyayEQcHjbVNhl+ffTEAW5IBM/idLkjcSv0MBrw3VOHBCPJ1UznWinkj
srRu4sDPynTjcGFtCGE650Rgb2DBMglhMqiG4UNf0LcRrRRvdQkRRLFC1B8MBQwXQ3TdHYZ+QIgg
mocQuNNqxrIjpXrXhdOa1ETotBO8tSK5DYvhFJu6n0LXYBU+x+vAlBmbeyXYNWkQeWJyrwU+5bVT
629lprY7tSpbIEjllakW3TbS802hp584Te/zpIbxUV8UIIvgHtkpGQBXPSdLQFbn96PtIHZAHCf0
R1FBGbATczuM2d2UmlC6a27aIEIl5jBIkXh0eNC16MiUB1GoO7NTHMeHwtZ0P9G6hykY71Wj/Wi0
2PXZYW6LyL0krekpibMyzO4LaTLoaotx9Ho7rfw6JU3YUXPs9/1dkJAmUQLgZgAe7sPWCHd1x87f
mh+BgT4REkmicoz61yUvBsGmoXqG6D8NsbBAsTK6Lq3ooCjlQdjuczE72A/DGk9mqd7R/G9Ixv4I
nhc2EhkDIl54W/odYHnHdyLSQvQJ0UNknGO7UjxgfZspzh4Q2BZbVKrPeThPO/Ssu35oMMBEjusV
Slr4ek6YctcVjwm3Lr8fxunZNDtHV0gHOoTYQv5tlnTRTT7aPKRaZqxZ7ljQwkaSR+VFVY23JkO0
Wzb1VWXbsF6D6NDkeoYGanpLY/c2AZCzsnT45WqG4qOd5fs45OxnB4aFkIsNjxWOgwJwmYbaTAiC
rL+j6efRoYZFtamUPACx9GpZmp5BDHUaTs9W1KHYR8mxniz33Jv1WVWMN+JJdL+c2OjirOSB6uwN
zcZ7MxpHgjx2ci4fCzskqTyq97bOfL6a1KNo6mHjQFIHzmzdGpNm7EMWwnirOUpULTmrTE2J1NzK
LjmycLpJmuCYZ8k+6uq7IKrfwYS1fjE2J1kGl4XWUzkL/1nKeiWi0GKnwLnXxCXv3Exf22U/bpO0
fCjKTnr2CFU0awPyuBAyjkyQibEb790WsHRfslMeiooXj9PHCZg1b8eJPNVeLBvWEpOZxixdRg/a
+DY2sPrRleO+lMYxsvLHSfIbVd3+Lhs7jVl2ef9VU6m3yr1GfFUUdpBWU1uAwzb3oi2BkBpPcyPe
B5WHoSqsj1XDH4z2W/fNrIODGBYkxef29ZCk4IkCdaWEo8JaabgylfSWH5URenSZ0bBuTGOZRAwK
YOrMPtm0IwTYiT0Bt7GHpnLaG6N5p1XB58hmfNlk8Vs+tiM0JfQ86jgXuzYdPkGemD0AFsA1GKMR
oftvlfRtyfuXXeL5+fXtd5pL9ccucSEpaigaVQ0yIh6IP+okAPEmqAJ440KH6W7xoe91ko3mEu4p
fb2Obe9rHtP3LtH6QJQFMFQ+gaZuaSD/QZdofLW+/1wnUYlB7wF2SHQG/efPxTS0HdlqnRpeAjdn
6cm92bVmscpkc6V32UOVKlQCqMLmWB5s4ve2RY4wrOwh46jAvAducddkfja2HpqE41S6wWp2k3NB
YjRsROVmmeqtutKJ2ctk98Kl6ghi112jFHtR+4o8JgfTVx/CYhkerSx/V3lPmCj1VniDniw38xVW
TPcMfMWuYMYf5mPg2YHJIdOp5abvmX/EFFyhqj32GYidOkY/0+oGqgyYRJupC96HsX0Dr0oEBm6K
tUNEo8cu7q5Mo5spLKAojPeKJNrRtcLBK032fqliHkxLMf1+UaFVbsR5a5dfHDN5gfJ2lZsc3c3I
j0giXbpuK/Ua/jkYuPBcVvMxoXXbJo0p2Ktq12aSXItCn1YEUy7As24iss9wtpZRDdA3xpegTRC4
qX0MSstBqBGZkKxF8hFk/XXcz0BIRFfzI/H+H3P3rs2hsOTqDddnw9Vt5L7izscocw9RN1ENRoLD
MGpXRjfsQxXOUViiEEccy/Hfm5QsCPx8NxLzpzYti50L/23dA1bElNHpB/i4CVH00ysiIqBuQ0TI
ZSFQ6ueJs9VHR1kTcXiyanVfG4QXyj4IbqRSlKuoJsZUhsxc3SwHLa7Ellf0RXRTWsq2bLDAxDar
jvpJgondtiFM7ayKOHZDO2ZbZGzsoqkB26Jdsgo0oGE9r227sClJ85fOjXBGLkFBpGXn66xghDrl
wRP33N4Km+ocA6PyeVHpE/MNtrCYfEH0UByo3XoorPagafUt68HItzH2+Mlk8kD2tkm0E+V3AyDR
IxLoBZqhvqraniUOYklA2oXLKVvauzjRKHmkc8b64frOZL011VCuma1cQTkvPL3jUWbzN/nhEGeb
KkS9oCrWHfGAT4OdLomzqABax852XTtlXhuOd4oM2n3AbtA2FoB9HixypQJHRz/wGLv2dSCw0tRG
ZuyU3Hx0E+0LO7GtraBc1qb2rNBv8HumiDXGwp+j+ot0jeUmBNLnF61r3VCPdsaBHl5F3szDG6+n
5XbTx7eMy24Kec9rqQNNbrkJJVeiXO5Ge8wfx+W2DJwY4dlyg9amvJ+WO9VablcIeeSJct9C7ZFe
yhVMcuu4HbmUqXxwqiz3NCGV1pGKoF7Vyy0uzeLjzLXeWNWpX+75vizeYy5+TY/2heYcBwckGIXB
TIGgUShECuzApXIoJdInI0M0kDfGrSitwVeXSqOm5HCW2oOV4b78Wo2kfONuuGspU5CRvVuULe1S
v5S2sS6JyDyUinzWllUAwm5zVU9E5MRysA4wQKlcwinovcTuugcK3qHcTFFFRnOkNOWdPvbtPQvP
kf21BsbSEu3Q7PTYMZ/CtDQPXVtl4XUWZqGz72rFeApCSwvOiYm5LXfTzmfy9qCyv16bE6pfNSAq
I+B52RklzJgxwbox8tytTVDpK57Cx97ooZIilUNMsovQR4NXwlIxEv61Ikvjxpnny1T0YO7BqkLv
z68zGCqfepUTLq9ijqc003CrJO9hY980FtY1RnobGbckWUmiWO1FFO92bJ2H+9os5w3v4q0TwHt2
IZ3VYr52jfjYpxBmYL0/qwuWtizGSzLmt+pI/E9HdPSupnnjWQsuMhWaJ7uUoWKYTFDuRjXdFyUt
dqsXz8SKMIPUekDzFumuafJFc0ZOg4lOQNsUNePD2QF0aRi8DzMmkyBwPorpVKAuydOdgx2qmLfs
5LbK4FxC0tY2g0zeLT06zHnH2lWnt87itcpYf6U6cLEQdeNcyse7fCYlKQo4/Zo8D2mHoIVKVO6r
hCzUroSYLY18qw9C9fIRdZxm1bdxYqLRbOxTQKZn2QpS68YRTRI+sDrSrgyYmr4ZKhvgTq3n2sU9
6dLXZV5fKVZQeCWa58QZXpLRirbjlB3HaoIpOnXHoJofzBp2TxVfpImcXuusQxWQ3tkn1SYGkVe1
zhOaLxpHUYZEcZKw1uNvLPQYHjC72EKCDkLAQANHD64Zb9ZANuk4c9jqTndMciSkGPloVuW0aazm
YHQOzXUc4Qlr7L3LsGQFVHGVDoAblfguC/LnuoeUiXYw7eRpKJX7dAkhEaS6NH3ZcdwMm1wN3xLX
3ZljCRWSjwaV894NyWvVqsdci75N+P6dui34+r+Yuj038e+k1nzS97HbV5vv4pFhZ8WKYHm972M3
DZsvPGxyd1xMOQD2/ygnnQ8M3fDTGKShLWq+H6TW9oeFrs8ID3vPAotU/0k5iWf317HbAv+GtUTf
w3fBC/5cTtJ/4nlQxHyBUH1fk7vtZSy0F/AeW+Y53xASuFV5iEzJbGVy7xke4RPs2QzkrvUxcYyz
Xnb7PEnW9eAErW/bOebGGA3Op6x01XWpiZtQKZp9x0GIVwHI7BcNRxnKZ1UfoiPAtHxi/iGClUWQ
5A5qcbzO+6S/EbgFfbibd2O6bHQHeXFNMuahfPlVxMChnsqPUir3pVl80imJVoIMa0801BeKvESx
c1Bt3ZdR+9IwBSLDeFyFibitEu2aY+FeG1pijTreWUG3aENIIu2D4l02c8KuQt0EBm5HjX6e2na6
gBB/rjOKBRPAmC/L6BXY7Uw0KUInd3LWoehoqcuIsRKjR6LsFUPux6lUPHyVR7W3L3rKu1rFANHb
HrkFNr7QaGmyh2MzVA+RcB8VA5Cxk+k3admugYXdpzFTzyaZP3UNTN1era7UgLD4qnzXhMpCOr51
+6Ui1fNTFeZ7NZf3adsflXJ4Fw0lqVAkTEAYJlhDMQ0qStqt9Czd1S1rDT2yPEXiggmYaXomy96L
hqIc/XGNaKED2RmVxAa5wAnLBGlezjB1DRVxZi1EIDGZDC9wog+FjhWYyDqxaif0dY7GiaXv+r65
BFlDlcVU9xzVTV2hdLf6fNuZ0D5XZpbv9a7x2tYknZqRk16Ssh0VZGaL4EsKxTzNJgVrFYVfMT2H
FqBvXtMrMyxVJdlPY4SpM9KVZ9GwXYG/x9maIkHCzC3T1DkzZ4ZMLdp+o/WRdcpGncCRYglfRQCo
dTnmTC1Eg2i7iT83/S5ipuq1FkOebLB9h2p9i6KngxNbW1c9clVbMfZwMe+R8e5Er92PA8mnYFSF
37WaysZbS05YDCjvWIKsIxP/UDAkygoXjsHAWAm2UlXFVTXp2k2sLfVpOmxdQipxth/ylDHIVGvP
LL9NbMAyvuDfGzFaGRvp5Ju+awnjlHFGdkzxRbbQFof4cxkq5Md1DCQi/p5JJrOLgcMonvJ/tr8x
BS4M3SSzg6SPJdzjl5az0skbyxRXvWQ5aTyvpsmEef/Dufn3K6LlS0CnJUdNcEYKJG4/H0OSAMWW
baRxSdsvfXotq4+F+2+iNGQGHScOZ/Z/v6OWzE4/fgvLPy/Hl0/8fk+p1gfhYJEhqIG5wlft+vd7
ihwYCHaLjAuOwCJs/+Oe0j+wuGFZY6NqYCPzo9VU+2CyB1ncKcjA2C79s7jO3yzHF8H91zgKuL+2
WLQbP4hRYvIu24hI6DO6M5zOwLc7WKW9ZaaHPM7HSvPUYbYbeAGi0igfC4TLPalt4KDDk84qh5jz
pekDHyTqp8TOVPV6VNsKgfggK5r1oXAvsBTmQ6j3WbyvO6l9ZJ+mmHu1FY2ycl2lu+SBHhxSaQn6
uTRN1LvYdjMDHOSctS9uEVrjudErdB2LgW6wiuyNzQrz7SImvL43CL/bisRRN27txMNtV8tubwAG
h2Y5E8K0Dpbt/mwgEGcpHImjtmz/m7qGcFAUI469yYVzWzfdGkh3fDQ7aZyCYK561OqB+9y3TO2R
aQaEWtkGlybr1f460sxnrvQnOw1fEoteHJsftlDLfKu6/A3/J9LJIa+NVySRHkp+T6vDcV/Mwtx0
qdI/jRYCr0ETceyNKcpLx0VhB43FeVCVuCKxYgxeptgadrQN2h6DFIzYVCMTUG0It6v7aT9XVb01
TBQFzTAD10+hl5pOhTqLHHSWbXRdUVv5FithBGgBy7386PQu+ImgIY3ZNOd9arDpQNgPaRrbvR1j
121CPJE6VARkAOy/bZTZleO+OUakbJ1h3mWqe9E5U7YyGOHDAUAjPY0dAGaaz0aEsSsdZ0Se6O2R
mdPCMeXpYD5cpfrUeUjfJs/NzMlvQGmvE2SWFxGm6R0tmX7LVVa8JcJoDnkdFw9sNEhMi+vXgtjq
byqsfyvrRVn530+tM5U1i6/nPx9ay+f959DCz85uGhY/WlOD8+eH4lpgdUez87XoRnzwx5llf+BI
UlWbdTORNIvf5n++j2ptHI46hTieFgNrO7PVfzCqJSXu19oaSRnCNWbJOr4g7rWfz6yEpAnNnrXo
kguAEedI68ynSRWRszebogjJmB3Nw9zX1pMVGSOCM6WAkjJOyvjYzHZ770ZGeee6sTkDMO7HcqMX
dvfQ6j0hCR6jU5Y5CYyOWLnHOoylJCRkO9O01NMm69pxii1RBJd+sD6GmXyGQPqsRYFBfXBrtU6+
Diyx1bI8puxj2qim1noaAr8new3lJLHHLQSSsBlaDkz5nNYEQtRjM4ImD1ukkoWBHt6B9mc5m6wY
wFwvC3GzB/ccNsSIolipcnZKA0jt2FL9VEf5HYD5dRro6wPVdFHfVbr2FDmJzlacCpcVLLxwbSaR
L+aEwqeC+tswbxPLPg1O+1kDYZhypp7ypjz2EWuyOtAc32htQs2bELrKWLFNm9Pboa4+1cZcnfWG
oPG5YMTQLJCbJpcE8xgLFyVjJ9npmFWmIsxOpLiDFqg+k481wBMW8KlF8za3jYRCMmVrp+13cA63
ws13KrMh9n0J4xfXMwyUOoz+NzTesGMSfgcEco3sfxxzFxf8yximHgp2eV9E6StDgBsOKN+pshc1
jT5aZYcJqEs4xs1gD7/lJq4Yaw8mbH0YSsS69NYpxIdG5UvgjGV9NBoWiOhcX62yOJJXfVtJBxuF
cJi3FLa9YsaZrMpwOhZgsDsxciGWxTaLAZFrRj97HeQAgC73idWiWocssGFOtAaCf1eY6ImUkd4l
Es7GqO3hql9G0PAPnW7VGPsutfJ77DaciWl/Mw9U4Cb52QXAglWtsOZKZP+pkcmXYBj/j73zWo4b
ybruq/wvgAkg4W/LoDyr6ERzg6AoEd4DCfP03wJ71C2xNVL0f91XEzMjEiwAlZnnnL3XRp8a1t0C
boRn186DJZxH20eHRhmFwAHFw/xnqPIGFoJX+dM5TSI6kcJz/Qsva3FlyO6YusllGq3nyKLrmZOW
5NVDROuU5hzatvHQWrx2mhkfC1FwZCdlJlScBwXFBqjlPlpq8eAvlTrykj65MsvsrLv1wXCti2zo
wLYzXCiwDQQB1bNB2kpoivusRbRlFfa+lNZ5jHqdqoWCysVSIStKXr+5c2L7s6UMp9rqvgo/uyOQ
cKfZ1jGWibZTQ9sio8VlAFvwHHBnfkm1nq/YhDXVGVJgLLl15sNbi7YPH6saGpamZmfhaxdkxF7l
Jp8VxV86hasiPYHZkunZpe0Kh4YSxXLW5g+h5ZJaM6YCMWCeHpS0KwmeYuLqq5a1tLPsBa9rsm7H
9Fpr/MdUKcYllm+8y9gKXGc6pnl76jRSaDrjqbeyF2rgPbSOpdMz4AVekPruLizbc5OqG0M3tnqZ
Jh4EAGbNlrHIDSf3EG6Rt5rMrgXYVmZIclOrHyKtzq+bIfGb/SC12TCTy0UmyHBy3QoHU+w8dFme
Mt7IyK6qcI94VarC3m7464O8IIRuMMRlGI09OlntKuSLteSZm+fcpp4yJQl/dIiHh6nKgxuiv9ND
bCB6aLkF6z5V0q0GOwghDYU/gBA/YIZsteG2VXRc0SjWiaEoVc1TYj/5d6D63+LilwPVubg4dlHz
/86faUP/rMT4cbLKpmpqSMZUxyVO+7vdGuoAvS4d6avKu6jSpfo2WTWxx/Izfxpn+alv2zWmWtfm
x1S27D8Kk3+wXc8FxI9zVaIpqXIMBMKkdosP6tuakXBD/RucmQgsYHNE2Ni/O8H8pMb9OLvlNOA6
9Pto3GHeosaauQvfFzGZVqhumY7DVZDYO87mrjcIEdeenQ2nQQdLAA6L1MWJY+QaNQVRjBpekltB
95kVjuTlk13bLiFUgV+duppB0jJ7z3ScW3gDeRgdgRgqr/+0boiyLMpeJWwpzJBDIbfaDHNCJC55
ARvP0jYA7ao1+XXxRrdK1J/SusRzwiRWOcakc+pkpASMJIK6IBkqfw+mxL4SvmUx6Wi6hhYXNVKj
KiR1jYaIOS/z39ZaSQLtOjQyVb8lKZlJWlkN1XU78FdEFTBKMGuEYoSPeqkdwiFE7ZMqmGzdZKfL
aiNZS/vO0hZ2q1x1ofxkJvpd5Ta3dTId0Vd9sswsXzgWPC5C2I5Vbawx/x/DEKNtECQ7rcZwFAzW
gYkH8jUsIoDMNmqE2VCFSDQRfMWc96mM43GZpra1UIvqXKO127p5yKALZqqF/yYsid82IA7SkdO+
hmmBx48h+FhgNmrdCH+/gVSrHQZzk+v+dGAgcpC+shkYfrTI4zZZatarSIecN5Xrqo9OGZXD2tdn
M1hYbqap3jF1uwnRy23i3MxXAbkdNQM3Vi5tlzdDva5Dsr7q9hDqdLyUUbVeR5k0y7EmJEMVljcw
wWInjdacQvB0OvmKXOfdUFYnTK0RuKNw9i471FoO6rUgNm9NYywQTDGpgvWDqcN3BZuaQb0ztqfK
kgpq6XonkwHMUKp+NazuC3pn2BWplR10N1PoCiZmdF3mTrZCzhhh3KZ7B5JS2bvUw5vGUV8TJdxN
lnLVavZ9SzEGWsZaOGNNKLGz7HQAuplzLfMce5ZYoSha45ZcZlafbPtUbBwkO6tK58abub1tVPmg
TVDYSkJ7gNA9T5Y8FSrtvqge9maqXiZ+qdTyU+aAuzCAbZTKi2i0r4oy7ApjOuq+snXtT4P/XDjT
nn3E8cw4WNe2eV9NYHrl8FlygOlahjFGlhCZOF4CP9aWONlhpyfuUxoIQI6Wi/lJO7oGKJ3eOFeQ
+QjuWoZTR3N5qjyOHXfkTd0bTAeHIKFTHAYXQ6LjpAU6G9UjGEfJjm4/4nWpfSqV8M5xsntAJ5xQ
e88OyjdhD/vKVfYDDEMMxdaeyn+TWmm3wNe/IqyJHNnOaG+MPkYvN8yBFc86QeyEl6cRQ8Y69IRe
wjc0hmQ7KJl4KnrHfmycIqqXwzj6HHBI3Bl8m9i1IdXWBhrOBX3OcFX9kYo3H2LbkZO1gKjS87U4
ytKMrjpjYmNN3+P1unKO2mOiR7e6mhP4nDmLb5pT+ULT+qQ05PRJAvv8sPTX/pzh1xpuw8sMiFAi
3DyMc9ZfIMybVlURr885gIFkxoe95yCL8TabswIBI5YLMmQCL3GNR4s8QZ78quoIjbbnrEFHT62T
P+cPDhMKWsZ5n40AZb9F4jpfOZdnZN6pc35hE4/JJiDSMJ6zDcc55LAtPjPRXsaQnpwYO6VPHKJv
8ZSJR0Slij41JjGufbPr/gzoIPYC8o4YwqdPsEa9kKjFYlQWHY5VDkC0IvweE33b5M4itsdjQ1Tj
OEZ0ZO11XIkvmdUOm5JQxziXT1L3N6ZBls4UwT1rDa8kBrJKek8QC6kRD2l2+YM550UCJ7sd0vGY
EyTZVuBVlD5+CMJxFxE1KYfhJImexJeds35aNy2hlGZjPWGbvSpoOTuEVvaEVzK72Uf2JD1p4FUd
CLjkaaxzAi+nOfnSja0NRyhwknMqZks8JjkpNJrmxMyYFEeUCNzBOU0zyO27Skb7VkdU0EQqJWp4
qOYETiXKLxHz+G0RBw/mnNKpq/XWnCcnxrhSuuGkz3meWWgfEXCggw32zPKf3FKufAJASyc543Te
Jhm9mTkhNBPJi+IoK87w2y4lPr3q/Be1Tfbc61U0p4y6wt0bxI42c/5obDTgApRtbVrPPgGlEsEt
SppbBjgrhnKT18xZplkUXlTCTX0V5wQH02fVoO4UBKAyVdpUBKIC/J/ovRdbyVl/68ypqRr6v5gY
1Y44VQsMrDrnq4IOa708UzXYiUZ/UeccVopafZ049WOO7NFTVOeszqmtfV5Vh2ZOcm3nTFcmba/R
nPJazXmvfWnxvswZsOhr/IU+58IOIIdW4j0stgd3gSjIf/v1IWSe5/11zJmPIH9EwHEKgTUJKfjH
I4iWmFqW5b5yFWM2TT4l7mfD/Gfjgr9d4kOrduQttpKOS6izBtk+d+V5iC+//hjzyOHvHwNoCmdD
ZiIfE4WF6Masd6PgrDKocuwz8ZXDcEcV9+vL0ED622XAuYBK1C2MCar9490KinjU7USCmM+gPuEn
bQTfw+q+My691OiR1FQ/f4Tr/Nvxm4/Uv+j4fc2/FK/RT20s/OC3lh/zdFLf8eLhSKFr8AMS05iV
mw6B9XjYDGA6fxYRhgpHk8GG6/KuCMYSHLy/FRE4XPCUqu8zD/Of9Ps4xf/4tjDEMpkIIM8kS4gA
o4+OdBswtAMBTDlrCt3+lgaMakxf/R6QSmJi6+p01QOa4dVjwHgASmV949aZci1sqejMIovcvgmQ
eDmAnEd91TVa/YCiyx5fTYUWjBWyOAoBgzauZi6tcKZN0LDMNLQhN7bDZjrM/FoWkWEtS8X1auC2
nMDV16CCd1sJgi+LmYHbd9B4WeboQhT8W31m5RJ2Wj+X7/zcmaQ7hdLc97m9j+NaX/TwysyQoX0D
gLcT3edsIJZWzmxeJrLQweZpK9jeceb3ZjTM6TXIK2dm+2Y1py135v3WI7DpcWYA1wl26wIIij66
ydqh57cQMzN4gl+BXaO5xE1O62VsiZFzYAxrGoJ+EmYbgmWiKghXSBqu46nFzyM0XEB0QR26LD0K
1SbqwYqiUTDatF04M9/YnknHrd1H+/ydfjxzkNGYqevGnOHIHIF6ejMQkzmEzKc1KMrGzFM2ASvH
LcHPbWTsKwPmciKL4XqiA7TJCY66HkAzE8Iabt2Z1swhgh9KpinyWIeghi/1PMUPyUlmW8+w5+md
+zwMBGojK4QGHYfhBLctL/1bgizLjYzjUl3zYue7vJaSvgicZt9SnFNk9AAfWtc/JRY/nJ809sRr
rQuf0pDNO8ytl6AGItE31GvIR54SrQ3Wflu+0bHMlq0SHNPZDOLE4zlFkrgMx+wtnEwO2kF75iA7
LjPboOCpnWTp5lhwFGntalnZe2Ey7ZfxeBvGOF9Elm0MCsqNW6OJG8wOd8jYC3cRdWXPH9CKbsa+
yl4YJ2mWyp71Ezo3oLcL2Ei0ZjVaPpXTp6kvBZHfqzJO22NduVScvGhnaGeWV1dmdbAM+kFKQTJ7
DVMA/ki30cP0eR7PtypSA3Cxzb4fMn2BjVTzTMN3ruDOe0rmfhGQKq04uy667t5X9FNT2uAnhFJe
jYQ37YRFZR0U01Yx2T0yJAkErvr+2nG+tpyqoxROh2Efx7Bw13YcbqqBJEX0dnzmszPmR5NIWeKb
D6YWHbMQtVbUmf4pdxBgZlape10Y3IbjEOyqMN3VMWklFQ/JCWkr9hGsipi8blScLwF4zEVrRedB
FhJhC309pZUZE7ZqqVnpzm3NtQNEOKvxpwKxAQr9Ztm4CNrMY0DglUm1VCVqgECga0EiEJbxzpbG
we2HZa+17664kIFCeu+k6pn+770lVYeX1C0s9ONYeH1neisr7cacup3dOdhisjXHVZ0BGOWFkixj
KV9CS99YNfDVICjx9zqXhtRppxBfXOw9iyzVv7bueGMoA8FdVXkaKfKVxFiWPGM4I7B0mTACVFnK
SYXi62evMO7u+vl91JJ4R6rzZSqGczYzcmMyKoZia2fFkoWUHqVJZE0+XI3VuBSgd3K/WykYhMJJ
2dB33tqwLbIy3lrN4CnmjKwR0avlECGrlFsF+noSkp9eFue8VJ11rhYbYl0AhHTBRbTAwGWwHTAS
ZYVyRLztjWmEuE5QJQyYbrI3DgZLH8MUcqyl36YYfr4WpAMP8LxiR91SkkM2zh9N5LvNpK80g2sg
azF8cUYwftu0lscEBOXhgLvGvUtjnL5uCgy86NVNxtSQsS1voK/AF1Q9zpxvI3gAVjgPdfuyCZ2V
5YCpD5pwh85mSxr9o6q1dGudW8sqH52wuQkksRgZo8fya6WqwLcGWid65EUW+WT+uEoCYx2q4zLQ
w2tyak+F1G/oW79pCj7JmqZIz9BAVbeKK7dOo3hqmN7GZnFsgfwyJQFbjPvEMss5HPjQqJ3HV/Gq
cR1P05u97tNEGao1dRaBlHmzwgSVL5iFvfZd8civQs7vI8JqDBxstCPwIvfLMe9fmrxBLKQc0rbY
TYqNcYzoTlknXqiwSVA5Vksk/JTllr0RrXwgI/y5JUJhLO0dagSgkUQZFG29JQ90BwGYGtp0QQ3J
x75WH4o6vikUDXXqQOO6497h/8zbrd2avJ32BszHdV6khxI8kFSwCUX21hn8s69Pu9zI9tLXTmEB
2iPvIi9Lx0vpz0JPErV7Bw+Ue9S14anEKDnWaKeE69z7tXXd1M05b8wbAgHUhaM1tx1KGVkir64n
RkBmekxNbO5wQxY9voN6Xqim4nFM2oOAeV2W5CmjIot1bN39LM7IkZ/m93U57jUBbVcY4Vnx0UcB
QU1vG+bYy0m0+xoB/4QvTxKYoSjxF1Tc93GboRBloL9w7fYJ3y/DH0LvC4IhIu2LlaFLaqvHpA53
lC9n1lvgm3WC0K85mFPE9zK1k+Wkak+h2ZSeqyd3Wd2mSO6STaJrlzgh9T5x0XQVve5hYtv6ibXs
hZKtIyo6Cf7PDvpgqY1ilaQglcL8ghh9E/sD4N/xS6mAi2vilxaHacn+xzegQbsv7XXX0ZoJlXyJ
ZJ7eVbfMUjaJwc23UnG+kFHtUXpuAml7EQ1P9FasPw3q5WCYvCHLD2NLIGdr3uEJYa9py2XeMOqJ
kqUS9so+FwbvOnpcuku1VuxSpT1NTFubunztnJl+1biY8CitDcRmmcr2992R9ict4A/V1/sJkTmx
ZRu6DVDF/DARbvu6pj2ZK2c1w6CAaTK5Uegs/Poic1HyXW3034sQuK7qpB/o4oNcC2+NamFvUs6D
87lG5N89DQVxADQHf9fR/tmBFzrMn1f6UB4VfjFqk8+VhHMVGkxebPgJ066wPsXdc1RYy19/sJ/e
Pb5NQCeZKyGc/bEaE3gWHD8tgotUntvuUAWvefr660v87BNxWuawzGV046O7ysdyp7pjGV6kAXp9
043jOg0RPwabCF2oaK9+fbmffCKD4G30BrwS4m/V+OxzEaPaRpcoB3akA4ed2++/+Uw/TjZA5cDp
//4iH+rxxlda0/K5SMxgvq2PsRv+pkz+3ceY///vxFmynZimEl5ywddjATdLijsfj9Cv79WHWvxv
H+PD0y+TMSll1kSXQdEXeJrd6GLMHSz7yUQn0JxF1/zmij/7WPjL0LeZFkbjj7yeJHKIiIq16GJX
17RslmW6s/9hP+b9U+mAsw0oCkIwgfrx1vmmrliOrOMLOevrzGIAVCz79P6f3zodiR5CFE23hfvh
IkUf2nYU0YSpy6fcOoZUijGLgevfxqQAYPjp/etfX3F+pz6sQSxxf13xw8MCgwY2URvx0SHjlc0D
YVa/WQw+pAJCq0C7Y8/QHrQ1DNQ+EuaaAlRAOGjZJT6iLt+xeZ5QjK3N6/DGXObryPt94tzPXojv
P9WH9Q6HJMkRpYwv0oKThoxBuCwKxfb/596hGVLZOU3rYyS2NWmW3QKDu/iVuxRYppz2N/duvvsf
nw7+Vt422oE2UuIfX7qyEREuUiW+0OBejI7gtPkcGQEjovg3n+Vnd+z7K+k/XomKuKhRR8QXDdu1
c236t9X0m+Xt55cwLbwVcJfB0P94iUhLpGNMQXLJ87MJoGxgOIed/Teb6s9WH162P6/y4dEntWQu
wnzxEiWvqTJDidY1Xm+IFgSFKMkmNX/zjP72sWDfI6slIo6tSDOMD0cF4fp2mdlFemnlpqpRYa6r
6eYfvmgfLvFh5J3LgBsaVukF1zkIoGA1xuZvbtvf1oH3S8yeaNDUTL8/fIp4GJgZUmldmvRVmXbo
jX5zgb+9ylwAIZ/J94TGGzyaH58+S6fdazlpsJzzsg5jc7yLGMbk7tf3e/VvV3b2Fv3vruxNJL/W
TfSFu/UxzHD+wW9dWc34j4HMUSDGYC2e1Zbficctm0YtKFTE6q7K8/um7KBdC4QN7aYG0BSVJF+5
b01Z/T88UqCe4LT+26/9B8qO9+3tr+UOOTsHOcBurHaWhd3l48wjFDkFX6fD5CkqkoWOSkqRiXnc
UBuUDq4RJ2e3E3qyCi1fm7OKusnT4LvYgFURH9E7Sc9dUSk4fgdlZ5q5fupI8Vn1oskPGT7821HH
Z9kNRnnMo7Z4RZre70XWJ7eG1qM5K2I3X7aD/dUXkbEtDMf3oOLOJE0auc+hiiyGhhv23Lov0bel
m0Ro/WpKc2IcYHm9KXo03YjGijqqYpzb+Yi2AY0NCC+rWg0iFgsCDLJlRFb1Jcs6/05wyLthFJ6G
t2psJgH5sLZWTUixQx9eNP11PJYaag/BBRHi0fOQEPLgS4+9U4wvtCPkdV1rTq8COBEGkzpaR1c0
HYhTMqMqvlfiycwWlUxsezkIq6oXfa1jVTYlmwmgDn1nSOIrJkAKK6DNi7mMddoSV9nMl1Nl7ZoH
OaPngDdDoctmIB3qINh0SjVz6sYo13VMMwB7Ryau7qqYjJtJa6S9FTPuroB718ZpuC9BrU4nk574
znmX1UME1byxNvNJX4a8mP0pQ6CSK5t/V4Q//CRs0v97RZglXwuo5O3P1F785LclYYZluEzmmJ69
f/NZLb6tCUIjQsGYbSN/uka+rQnWf4BoCPw/tMo4QLKQfFsSrP9oaCz4nyzq2n/qJyEOgX3h+zXB
dFGiQeWAhkZBzrjmx30DpZRpysRRrmwzI52g2EkySwhVsvA+am2BjW/cKo2hL+Mwu1ZJy4FcVZeL
HsB/P7bFKo3b3VTjKgbLFy9RXhYL0Y/+qqqcnlTZ5jNrxSfs0s+lWp1Gvg3Q/JwjtpB6beBZ9kv9
HqnNJtMghAVtesOXuFoyj3gF3UcaptUQpaBeu1j4Fr3jm9gAa3Dd9ttgWIMX9yXpoyR8kjOznpKJ
ulFB85W5ZJR14NwjrcSEDagoDkpYTYWCYRu5tKbUmz5Bw2P4Oi7vDsv+xFhkZfoFzJ/ehEDvD8Zz
mUplvI576UiPbmJPi71o2uKuq2K1RHGrGSi40bUASnS9UqOXLpsxW2MjtGma6mtpYrVMOF12MQHY
bg4PrEAp3qnxl9ZmDcQKBlEExL3eXqXyXjRg3/2xR7LhQtTAk3hrDwgOyFZ7jlO8MYNbizUZDSiz
C3mw/KbZV2r+uRJhXGMoDQt1jdEagYSVGeK6SoJkTnrEpDbiSEcgktgdIIchUVeDajzmRvEpi+zi
XE5DcVRz8EqKjSLCxi0SlLs8La4ardlkaGlS194Ppv/I1gYULtFHOhux1+WGutM6ZE8hn5sQx4Ee
sVWwIKcsOPw9D07QRnsZQXwEssRsSfOVpd/r2dl31LvUSbFnlzatOctGcRS1CVrgKsK6qYh0jdLK
stZa75wmMV6rDUZX1WoqSCWFs65L9Xbu9/pVnS8mxiVV4HrKIHB0WtdmbO/8mfAssTOqU7OSbXDX
Otl5cOVGDIK2vyqXBmDzhl0mjE3ERFn8gIznzi6wvffOJ7hoATkezXbogrsSDF/dR7dQcR+jVttq
A313FtxyaVUm9MiIiAGE3h5SR+EN6F6svFAPPHIyebr4awzsTtb8bcoYmGtdnyXhApfjZG+AkT/j
rF37s+u37dLTFPg3mVmVu9FscWspxm3U9Z9zpVlnzV3dadrSrdzrIIxXZYOjvpz2taWBpol7eprx
ponqLXgxRoqEqwH5f866AO6AbXlzoN5Cr0omIwGCcAVPVDX2L66vFWsV0vZkTVe9Ks8o3h+E6A9F
o6wKEkzxjXzWS9VaqX58OwXhuScRo6r7Y2hqn9JK1daqGL0Kbv4ySpQrX3U3BAViFG2dGQH+Wfr4
rPTeP7rB2C90mR7SlH+muYe+7Vp2ymxHuOdRzi1eA2nBMOj63i5Mep4OIjhPI+x6aU1Knt2EKkck
+ObBUxyJdW7ikUC/+DYpzTaJ5BNBFF7vyvXo8CfoznPLcDDrAOEVY7vStQ7og76tg/JxtOmwi4zJ
aG/AjhbdjaNVtEIHqNV1rT9GXb3radymivSZzRrXOrMYasdrkbvRcpzkyZQ9dgkz3/h57eyo74ml
sjeRkzzEIjky1bu3mbIsUkzWbThHgaSnMK8OxDg9oO25JWfLXhDl9GpkfNXUmnAXcR7SrNsFI6cu
yP3bVMC3dsUNL8m+6FK+YTUydF/1CCPBL9DJx0xUjKaN1JONeinSHm0+QGqduVLVKztjNLYqZVkL
lyab+m3P7MUlCWxwW0Ti03UrcUDbWUUOa30YSl5ZJ6NsaNJ7wC3PCSNkgvt2LXBvBhb7sLDIbgk/
ySa6NZ3mjvNvuqCT5kkzZMzmfE5QG2kZFraJuGtfQEFr830+zQQNrWeAkBzIH3geUv3WnSmNIGsW
WlGpyxjnjSEjLy/Ls4kVObKdt3/PJu9nE5MC83+fTT5Ro3Q/A3zNP/btYALrmVYeaaU2Om9iCqgY
vx1MAKGas9qcUsadKxkqkm8HEwPXGOnZ9Jrcb7qTbycT/T+cVujp23jRCFdFkvIPihVOOB/OJbNE
XpujXTUTGcvch/iulTqoSiDrOu+upjFZkjHK7M8E/Zn9pmzW3qVLPx6AgIghwkc+hWpG/Qh+0NJW
VlZslFdqZ7r3SVgpFhoA8n621GUk/ejvqT8I8qZbvt6Eu1ksgeRLBU9lEcMXDYgM0uyspOn/niOE
FUl/zxay3nOG5HvmkHzPH+r9imDpWCtI7eG9J5dJSc89e7u2jsqyEOuiTztJpjq620XU+PljlIzu
2nSmGiBX/mqmRn9lGyX+9k4t0yXRIilp3j5j6hQCqpIiYieUoC/0syo1MznKND7XLSrSrMRqGroX
XVO/Msn6kleB5zfqnY3CL+/1jalYxUaofApiAdYuSaZuBu8n2/kgDFd6kkWrhvFvOlZvcDRvptK4
0kT51unyNtUIzuuNOn6y4TWs3CDpTopd1ldVY1r7NHJPpZuljENEs8gVRX8zELVsDT9Ur5i9lWuk
2tUCNaC5Fmz2euteMRNlRxLk/QTRJDYQZu9HTXlMBXPTIg7Zc9s2IOCdSpZQPpSSa0Hs7tox5l/R
smkkVn1fG7jamBrn4U0TSGXd2VpNzq2K5zWNRu4i6sVFk3T1ylBqsK7mdFNhvAXepGm/GW7MtOGP
7zJlvEqbkU4WvLoP/aVqrKsg4NRwxT7+0gOYup1u7YWyqJbtNt8CUSTNaJ1t7DU51oQYGJ6+Flt/
+bt52HsP6K9XHc0jx3+YfFQjtNsNDOI/fqcAkvcdI/TiyhfBHmTqsEwCZsllbwi0g2TCV9LXvRpZ
CCHGjnoK7NrfazwjK6my5WiPVy7ObGx+03M7FK7XMD/32rb0UE882yan89gnYdGfhocqLckwqlEr
2E2sr4ae2CQtjCmLw2E96u6GZhW6Y44hNAHmmfUW1NdiFGIDmkVbVOxcMB0M4CD5lhPUqtCNelGo
2Jv64Ch8Eh4TjH1MlZlJZXGz4kt81Q+uvqkCxomNHtwHyI00PTt1A75AxSk3KkFUcC4qw+MEfvvd
8sr+iV4r/z4x4ccqalaTEhNKy5X10qKv8nGw4E6id8vMr69UuKYbFgJCxmss5GQorc0iMjCjBy+/
vqSgpvzurfr7NT88TWWQ2PzpaCCT0MGXI2zvgmI1NfbWyBgBVAQYBRalmk0EsJk2LSbEfCQ6C0aW
o5hHxvqPakS3UDbKm58gwK6qkyhAr/nTqxlUz1kfVSvcqeW/Tm7tfU82ft0vCF+almf8sX04/9S3
LZmGABIMi5EuywUYEB7pty15hiTRUcSWNU985mTZb1uy8Z5Ha9ImtBxDdd5NY//dktF7ckLXLfed
Wf7ekPwnW/J7l/qvBQTEBW5wfguDChOBJ/61HxcQAhJVTJA0ylUQRbxPXbPQjP4TZXqwgR13LueJ
WoOWHIIbLuPR2VYQvNcO7aqVHJyvRTfLzN07I6EYzrUKcLOOeqIJJk7a+tZJO89q/XUGRbrv+c9M
wQaOTpxolqfGhOEXwTLDrLxuhuoltOPT2HZf0dOse1dfI+7DAKKVp2owXi1sXuzM0YLsKEQPUdZt
47Le1q57aNBhFsL0JhGvFZRAWGfl0RLFvd3Lq16EHcYiI9qEk3hJSWTGJvcYqggubB+3eVll46bW
0gAmDUYbw2r25oALzAFn3gocNjqCkDC+9SWaC4oZ4nrK4TqnVbBogE5iM1W35AepB8aTYjk5/bRS
ci1fKJl9dvX0C8ms5WYUJtCzIAFoPvp3ILvf0hICkJqD2s2b+JQQCLeKwD6sc8kxICxtc2kPxYhF
2QEAOu5Ds8VHxfi0NWsFNkO+6pziOqzxQeWOu9ekgsrWbE9IVsHCdSiLhusINiLJSvRZUJRv1MlB
GTXbrUR+PYR5tjAc9ymOtRtA7exckCVx3uvsCpZ+N2XRU5JXqz6lRUIdRKkZRUdm8Ye4Ut8Itbe2
8cQiLqJuXIeNxSHK16+7NnwIY/7+YCQuY0KHuLRKY9tZGF7KXDeoebuvRZzsFBzafVBj8Ef6CtGY
xMWI66hDQ0Y54WJFHj4CeL0ZapRABaG64Iy7TRAQz1vliP/akfS6PubnUo4XKy1LjE1WdGciG3GY
+Dz3pgMyPVQLDkBP0EyPsLeOdeRGOyXQsI1ZZKQZIgfRQfYmjHadjLWWdDu9uAI0cqwi00ZC0+Qc
RqIrRLhPVVxFWHppjXQRMX5GvrR6/tBe0sXQUrmtNPUiRIMysJ/5ILBNgm7X5OV9p8hN0eTUTIVH
g8sFPRsBHmgk2FmLk4OVhurKUeUjppWvjRRgyYcNcl8OMDl++dwqzurIpxrtS1H1JAa68tZJUq9V
99V01cqTr0TeqLq7YMjPmplfhPS3OHvOSoevS440SGDLvCOmuiKcVmIiYsSKU7LMs8hfWgpZ6EQS
cMv5pXlmkt9miWzZGx2SR1W+kc+crNCi2mtRzl/VpPk8xDChEWza8dCB4Kvi5RySsqH7vQs17DAT
hX9NTaiDNc3dYYOfK+DoqSNrQyTnuYrDkYQuWzCE7b7wk9jLpPGlM7EMwT74UujysZq6Vxp48bpo
qJUDvb+QIA0JChgLYEerXbMcSSiEXS7qgwjS9sDaQyvJ4YwSDVUFgw0Uo5lnseXp2LrMe/meVB0a
NT46+Pp8l6oc5Jo9kGrtvCdcOzkBALT9YfVsDeJcSMHWkYxd0aoYu9s/0rN7t1b0Qzd0xaE3aYg9
1pMh5Dlpy20RgM0qY8I9C4O9N4pMyJ7q9KLVwU1DV3JJWuveMPLOq5V62DiKdTDtgRYllcyiS63X
qigahGEWZXtsPCaIJ5ahxN2oqZO11wte5iRHSMo/h49qFs+lb7zQJxSr1uEUpk8wy91QQj8r1IWR
oyxWVeCVdVsPS0SfpxEN7xC5sZeUysnI62vF7w6ZUzzLqKfnoi/7AY59o+EmDUoTiaY+7LFkmcRT
oUQpX6KEbJa5k9ySb7smBIoMxLa/VUV85TfuUYlHFNvibdJUfktgviUy+5Sr0UqZ9mIc4pVhYpMM
6ptkYOlRQ1JMwebSPQrtk5qkDKuGYiZ57EI6GMsBxe2S0FOi1ER2ZdnJtMKYEKxVKM5YsMWqt81p
FQ3daVJJ2DTBIXAXSsLNKlj+uCg3OpyFZWmUK9uN7PVESAyeUOWuTVaTGTyImu6rY8T+KlQSrHKJ
23NxalI3cbf/x9559baRZVv4rzTmvYzKAbgzwGWmEhUsp5eCLNGVc65ff7+j4Fag3d2gHniB4TxM
y5IOWUcn7L322mtpo4NZdU+rgIayHyrJfbZJ+hy6fdad5HZNaG0jsOYp1gaK7ClyJdjO5O7GoTMV
F+uV19Q3ptMNc7WNrgY6gOdjIiRWHS4QQK5rt4HP03Tp5yzOjkIJzwGrGb80BR6w7DqdNTBmE0NW
pWmZ1dvKca45oBekhydR4gsLEG2lhdk1LWtCx7iftp68LjrtvLXzS8fIvgdcdBOEps50mcZPg33X
prq7dEelnBpyufaQU+bU7bwJ1QMkAaNo7RiD6CYmgLfVYlkZQTelLWETBc05kcgiVetPbaKsoGX7
U71RWYCN3s8jGUMmkqQCqSTXWkoe37XaMJuZKMCRGSpLU0USpmZCYfzGGzmvQtKS+ghPinJSmM6R
VfXXMeAq3cdcghxZKEKP3lLqlOM4dczpIAzGqXfFx2hqn5sKmiJShaYVtsXJelTxR29dsq1BK1zE
cinM6cE5jrafJBRLF1Jqp3THuRxwRrcaE5UtAcVbRapphuliMjOz/jbNvM+aUWyq1Lodde22N+VF
XplfsshDhi43Z7UWrN0k/yJn9oqU5aqz1WMtxI8BS9apHPswXLsb0fXSWOrWiVDZaoKLESuPiVPL
V6kuDnHJWHDW+9P/QmEPZTqi5F9DYaJMt8AU7TaobndV6vjln9G3SrSMHoGOcTgH0iuJUpAjwm+T
Mv0DVvYEiCGjRCeKTkn25289AWLWBwp1LBIcav+5M9AbEIG3h+AFv0MMqgsCwXNAjBZv2Q7dcqTF
73NBztxQS342MTuSWDHCn9G94EfqjEEWS8+YyluIT/AMchtz18z7XFM2FVw1Il8UKieVAdn4L7hQ
L5/k7fsI6O/Z+0BIz4syMJSNkbdTpTzprLvfP4j6Ejx8+w6vipqeUqTIXfIkao/huH5tOT/Qz546
EvyGdo7uxrRqv+bNqgnOa4QGlGAb+guPVojsok6vPMpCNY03hje3YfF7Og5IV13iQ79O/mIqFJEx
/W7OSeuez4UWSC5kaDEXaCKM8Ajyzw1mv5mibzoaiBCwQeb7hyVhOs1/2mbwcCr80urREm/w+gPA
ITZMyBUgK0JV7PkHwN5TqVvZGjZobdCopzglFwdtoPV0yPUinzqhnDbr0AbpJN42mu5SienW6TgJ
p60sjdPSKKin5HAnUL6XjzoHZHoZJ6hUaUedK1fg/VKoXPcawIgWOdjouPTwpQjllma5zilJqm2x
oEmHOt1A1rVpTYRvPRyiIJpgnbMssQpK1HNENvCU+lK56OZUHytPYIUxHXTmrMU8TUWaF+nOqTWi
bRPm+H1/zIR0r0k/4QgnIxgUVGcbbEgAKxEbLb5UhEEDDNqiS4+VWr8Iw9MQxdA2JRNMwG9ybdTm
mfOx1s0ZneEQRXvh4OfpMz0gcZXtBGX2KP6KNR4QFDZyjoHsL10mD3Kdv/wLvU26X2781wB1F+AY
Ry/guJGX2spdjyf1Z21pr8sNyfdJvUIIcY4rwnRYaNMjhPgW2az/Kq2jRb2Ul+YplgKnv99dr7Cu
N8cE+MXzFaPHcWMlYsmi4kDXe9rNymqCK4z8F8fRrpX5/Dh6deDZQTLGPnXGjYSrx8f+rhD9ZVNd
nZnuX2yCewG6322CVwCtw44pNcRMNj48h3M0K5p+isZSV81RnPQ2cH9+P4W7TkDs5LBPAY2FjvXq
BEzMpLcs7IkB/wHFx++tdP77N9h1AD5/g1dzRzXfgtWoqhsMuBvAhE7Civwv8eRdR8ezp3h1yjq9
Y+IrwZs47fFYHNXmR9X89vvn2HUlPX+OV8fjwF1d0s+pbiA+Tvu4gwNw6YRnjt8//EXem9Z4GtyW
WZX9qP9HjHyb5UOJmUv9n5dfVg9fe9tsdlPfvPhiDvu/phFtWw6X26qJ+dWHk0D85N/95iOG+JFW
tn//6+YO8j1MmroMbmuul9f4osaf5ffh0VFGL98u/Xbxqz+DI/kDcrMKBB6KZcoL01hQS4NOb5it
GoHQvfrkU3Bko0spAxVqsHdVhBbYWH8GR6TFj4P9U2QSob8XaxFkkiCLgqQJOKrJ9JC8usboY0lo
KB7KzUDDLiQVtVG4ltLUDtdm46ebQOco9C3/zDRKchvTuCgGDO9HT77UXP0yKoGaZFKFvvfXtHoe
+5ayaLXmJAKlk9rxKE6VEztVKEtZ9bTV++9Drp3IqM9NtCY5gw+6cD3rpPKlBYooFzhuX1sD+iUo
qNpusbV1mz4rG7W6dB3hUOdLAHCmr63BED+VA3KDunyBtcVZMwSz1pHPegtDRcfsKcyPS6NUpqSW
1wbKJGQp4Twuu+9OUJ+6Dqd8qX3TPER26/oodc1FrTnHrV6gOuOfOVm/cNDCRGfprKHbU8tw+u7V
z5ZurHzKXA56PFKUbUIlxIpZmWOOPiuqcQbc+dUJqnPfb069bpi2mb3Uu2aO1MxZqeZ0vP2oSked
J2HXTP2mORod+8alfxLh6s9h2ILYASYZFX5g41IKw1mSjxMzL6+Gaqgmbh9sPMNaRRZa3qF5bVTJ
ahyqy8Suv6dqf4Z+0xnkzJPWTFa04x4l5bBqChowEQaywhx/QIwTkebTPP3S8q2caka+qq2Ufsu4
O40aS5ooA/wJN7rRMv3Syc2pj0vwhGtr00j1iacms9Fr0ZhKp5UlXYZOv1Zk95OeDFDRtLlJYWlS
+FgWRlB3fFcuEBMsTgM7pqO+K/qLGOugWRaYN1YLcw1Rr6WdG83U63O4M6j5Jl3/HRFJZGbKEpHl
eTU4HZrGlV2GKwiw/hoP+DLc6OPYB5NQN1NtSddQsHBQSAQmr9aGlMnLrGhA3UjSo6zOj1L6jqdV
gYGtEivaaW+MLXCdEmLWh2Mfisvo12tjeKkqKqRZGsshEK3CFNwdnQiacQMcklMkRadK2tCzm+Md
WdtyOG2sTl+5bWrMKnO4CnSqveBCmO5qOP6NDRgEYRTeyF51bZc1pvMmAVsYo91uA4uN4Y/OwAPE
kdSPkureAuLP7EHfjMDrehlRAo465IVhW8XuNhj1UzusP0sUd8PTshGKSYPeTIsc2SnN9OZBkl2o
GYaOSEbM8paKlQsJcgrNhZbNXP/uYV06kcuU/rqqaGaoPZwFpdCu78M7B3kdIv0mmbYtZeJItbde
7nxLB/UayvyWz4++aCYjGoZE1EzLof/4iYahe4qYSR4Rarc5iEVczrAw2bR+cmQn3Se9H340lnwU
OvYRtoNYKkrNnAvhE3XpOVXt4gxN5QJAElFmtZHM0yx2r9LcB+5xomqu+i3qFTpaOVQ7v2CVwywX
yZ2U2dlE7ruSLmAvXYRRv3YlxM+wGJs6Y/t1zMDp47rfBLL1Xehy9XqLe2CfsG4tc6WZsHksP155
NnLcaqEuUFGlkKqpSzdTv9RFYAmJhSn193XgUaJpzODL4GkMLum3gVsAZQDkoFT5XaL8jUzVMO1d
mVKf+1nDPWg60Og8qo081bFqQFZLneo1YNdY5h992HszOaQbsMdUc9K77hctlhtonK7F+tIWRYSE
neN0bFG4C9MsY1uWnV3x8bQfiaz2y9ZFTqKhiB9EWFh2SbFGM8nks7VHuV1t+gQHpoE+YTvR1h0k
Ab9uQQblo7qzRzy0HCQWJKDHBo+dyJevOq8+NlL/ozJYCHGANacIDQDWddrM7KWToLEVaOLRNSJ/
8EfgG85iK8de0vejdFF2ledPpQw1YIxfZdD01l/rdbDw4xaFT9mWKIQMrRDrCKi8JBgrNeoRxkzo
mgP3W0ofXwQZ+dr9Ffzewchym53dJNvqZfBx0LEILJ7fxyKnN/V2F0zDL/6MRNQPKPRz13PNP5KT
fhZJEdtXFWjMlkPLL34xP4ukGsaEIL1CkYZMF49lBvwzEgHbIfOF7/QuMA2y2bZqqMK8Gf+Rl9lR
1XRNkZhDt5Gz8xLJgSG0Zs8m5fwhLXnONRDMp5fJCk2yBDpYMIoWRv1VTGx2VqQ1VtNsKj1E0gz0
EkOYi0pfKS5iTJB2579/P3SB/uIdxSd6BtioUFcC9LmaTZg3AOGDVzsTzDfUBIHlrLroysw+amsj
PzMjw51U5sIMh2JeuL1rzOukRv3NS81vPajTGt8rtlOR6zOlyrSJZvsnRhZ/wi8lmualfNdK0Q+n
l76ITqYMlyjEgHRkKrxymGIgBVUaiBhuMLaJqCd7Kz0ylxViFQvDsDTM54Ns6Q59OqWYGU6sEklC
9PvLCe0mCNajid0ElzbRHYLp6DkH7YlUuPyVQkgkri2ok/VMH7TJYHYXrku2gWbKKsuU89YHxbDN
dSoLq8PQO8bRB/qRdF1K0K3b9Fs7aue95a9aa6zmCkapQa0v9Rw6UWD0E9/MugUyptUSz7zTrLGg
/9QyKielMVTpVVb45soEawmVtFgV+DbWFzCs+IcmKakmxGAKNeziszQZjZVeIc+G2mkB7dI+Qbn6
FF/BE3jU6z7CdcFxzyQ5OhtG87MSU6krJMnBN0vQeoJb3ZDv0EE25p2hn/a5fuSq2qyN8pMaP52m
GdZU4c7lsZimLgpz/XDSDf0JggDZrB4TeeoZ3XHVyp9RBpnrOlz5JB2vsRH3JjjUoUjUpOdpVC8b
G/OAMTqSMyrBfW4iy13TX1n0AOxVG1FvouxVhdY13hIwqSXZW6hJ3qybpquXsatWF3ZQDCfIX6Ny
AH4eJ1zv3Ub37cuqKXFJw/9i4vvlQsmTIzcOzptUuuraFM0M/ix4/87RTYfeWt9ZPqRUxQwvVK+b
O03STGiUneHkDqIzXCAnjZAZGKTZ6cuubBcyZgg1YnSJImMQmF0hmH6euNBnuh66dR1H7WU/+Jc0
R61hUiFebn+ByTDtLaP8mMsUxcKg/JHSUkAv1FLrqEOPoFVYvSAO2m5lDJBS6qSFroRTTrC1Sr0R
RWpUx6WOirh37gftqW6Eq8JIlr1szDEFnTa9e1xVKCcZsGnHemZU0hnNrDMVmq+smRcDJHu6CIj4
NFh7haN90nF2U9kh00JYPSG3MawizN7XZZwucgICxKako6gaP1aiRDvENVFUdhViCUrozrJ2wTwa
W71xmvAGHXeYRDGa+mEXTaFFD7gqdgmGFK29uj9m/nvp6VwBv7306ps/pvHNLrqu+NWf157ygVol
dg2ULsm/BSf32bVHp5BOd6kBLZf+3+fXHv1DpihC6Bbt0qK95+naM1GN1jTVMSHtmIAs9j+h6+qv
MLT7DJz6iEy3kgEXCXLHy0vCUjwljksjQwMDzgCMEpxoOhEoigqu2nvKunOjRUzzSJqkak7O4n9N
aCxBEBbBnxqd3ezMaop1aEibUXLnMvnYNA6t7ARVGnLUoPw00LZiOzkMiIrM1ZYwSKW1xSzdTSjX
I2G86HjJQgtvXI0GDhzMkBGLbRwkZ7aBDjTV6rORTQYXXm+XPlpk08jgUErl2p8GaOOMIXw5xRtm
iu2RY2b0pmBSDyWlw6oWw6yerB8LRuSeTacyZn5f97O2la9bpcZ1fph3ag0V0dGjqSkTxhqlcWvy
nNNciPIXDmzJpo3vY3+g/TS8dQJys8FFGadJkD/B2nTNmeOu45yTAURjnqWSvJSRDTs2DKk7cQPf
wU4rSafwba8xf0F0NIZIwBW2yaSaevEQTLoR4r/ZfERkGsZLVFybiHnnBQ040JFOdKwDFhRARcye
NrNUinPoG+S4DrJ0k6hoTtG+Q7liyPDzbaVlXhpHRqp+SsIW5E2UJDrA8LFTVpZWwLeKgruWhNRL
x7NRRduqQfIFT8jyS1zT7NNkMGuC/KTB3WKSyypoKp3i0ggukkUUNKoM8dG8hiEaq+Y6rM2LyEX3
SOtgAOMVMC/0xF50UnZbqCoqA3J1pkKp0gt8eeXkJMG0g7DkWNMQeE306rhoWTNuU50XgYnoXcTU
yEjtznWETyv0iquwWRaFdmoZPsiJgytdQQEaBk46g+ewLEMJ8DerTkdclfjrIRbc2OalaqqnyJXj
mTu0/VRP0IdTI8R6tGwMJrFegxJHMm6/MNYqShO90/uLNkxPPd39NhSoacWSvfQQVZ8ZtfxJL7Bd
0hDKUuJwNhS1ObMD78JDUlnpBTDRkzU7dyXyIQjVVMxhZa69AkgC0OqkbqpNkFWFdJFhWj1uhx4b
O6wOKKnnnyLXK9AWQ51KpNppE+VHYe18zSL6UIzyzsbUroTwkI/egniMFqLuyKmlRSmrx1nsnwVZ
dtSH1RmCUOdtGkVAQVDDYrfBSNA1fqBk3RCJdZqOm6lr4aeRtuOVao6nXkFko8QIDnoi2uk0k/fV
lyTTy07EQ0harToCpNL4Wol4KWmc65SbOiaQKlW4xijPkephVZCP580I9RmSCaSV5oLDjuyxnkGX
hJkeIDThErBpVX0C6xHdc6SqoRReQlicuoN3NeY9FCkR9fki/lNL7I31xEqXjqcQAIk4USNgjEXk
iP2rEJEkmsxEXCk1rJw0B1BJRdSZEH7ahKGWnv7ICEsTEZ/qBKojLloGDnu41BHDGiKalUvXQrAt
/243Eo1OkX8a9DbHhCyfJxmEuMYqlE2nxVtttPq5PHbbppLQgzT7S60b8rWWtt/QOV4UuvxlCKxT
Oy4WTkW5EW1JB/3iSl/C7P2c9k4DlsIdbg8k0Rn69uW5E8THMr14owhjjMI9wwM4mAVmtMrSAcKE
ZFzbgFW8M1QfR/+oyIa69A14+mOh5LTlhf28kNTTnm1wbmXOJQHpqo/1gP69NsGYVqW0FyqTINNo
rbbqGc+KPHJU6cjOQMEs8mhaD1i/mHE8V2zklZzbILcuq1q7jJgT7gEFATsMJ+rYPk8g58s+Pq9u
GyFA5Vr444wYlHRtuPQL9JKDMCazqKW7gOFsOypmhlAKM7wzn96LCXrb7bEuKemcP+iwMtT+sk9p
3UpyCPQZdPDGxhW8L1BXR4h43Wc9YpSzyNaOfXwThFPQNxoJgzXHMXQy8AAPXTTJL67UwF1SyyhB
Ss0Gk2j0sR2vuo1UP5hKFYqdhjWCEBSnNKGUrJocSbP+hLb5cIpryrKBn2JE+RlS3fE6V7qNV/eX
8pDNJVcbFgbtjVnhrCRF6j7649AsukbdRg6AVWVZF8hBh/NRtEz+N56653uIVqDfxFNItm7Lt2UQ
8VvPQimdJn4h/SwaqAV94GcopXxwqEs4JsJaIiYiAHuqZeCxhVSMMNigtcmUn/tloZ2LtAIVdLgh
giCi/pNQiuaUF/k2oZRF+4lKOyMeHCSu8qvyYKvCoCokZ9gAIlcLWYrTecVii2i9pZpwDG7bYwHe
GpJEIJ7mp13XXMmJsTTsiCRBiOwFvmyc9CkswDZUiS4q/UgwWPC01aqFqtBkQ0qarfq2yC9UneDE
1GvpmKZIY1mF2RdnJEVBRvI25VAi3xovkoBSr9vh/iDlLUUPD6lpGninadYKBiAqeUHWkWvZ9Pc1
OH1P00S9iDQpXrcJqVICEiCXvrGSLFzCIZlVayVq0Il3zNSYBnl0SbvKtouKK9A0usPBRkvZlNYh
1L4jD6XI6Vg7+UZuzG+qql46BaO4SnQKQNRBzQUMFgeB2zmnkBwmQKExLmDthRyNn5Imv3bC4jjw
q2/kaMswT/iwY6eiuxie6MaA5V1nnI65fTc6cQRAjJqojR3tYGUZInhdMZUQGiWJp5gCxh35Gui6
nS1c3GktqTglmP0SBvRPWlruIj2RlKTXw/cxUM+UoOQLMPzA97Dk5dpHM1RDIHgpNQLG9nk/hNhx
FCPFtmlQKnPasHCzRzWddqz6uFGchVKO29G2g7lhtcdpT0sa5ic2EvEESmlT5VxxSF6UNrQGxyPQ
QXL2c04zcYOWMslmPm97FeB52LqWOefsqqeq6wknRKBtGkasCM+NWh+zhSLXMbcPVItyMDEExLSd
UBDa+HhjFxizKjDspziAmNNSiABDNl63UP3CMLto5ESeIIpBk3fMbVTAHUrKKer5y0YxL/rO+4wD
ijOpk+rYK9EbbSW4gDbEv4ldARkFkUcAPYzyyorTYJ4lFfQPz63nQeF8yl1K8gmhDc3dx25nl0RN
VT+rjeBGHkYk5dvsxuqhgUJbok1NcseVW9Ni12HpPs89nfgCMHsiK2MOFRtiiVd7V5Zrsaa41VYo
+Z7WLldFk1IQdPsRM9mCFmGc8Y5jqbswFf9ramkuDraJPTcq8yQx1RUqK9QBPQcn+6qaxZIK9cTH
90po+pq5QvSIriuFkn6TIZUCMxNQu4tum7D5HCba93zozkPh6kvz3JZDirKah5NjZ5/RSS7PodsA
WlVpe+IM1bmWa3ehHtAnkfsrLR6+d6Fz1qvpVYCL9DQxxq8x4DWi0Ia3sI0wXOQecH3tml+rrAD6
QOIlDKNtONLsN6guerEdEWwsmZNKR27S8YKrzPdID7wgnkt59Dntss9IoCBa3+o3pRx+w/yLlt2a
jrk8wxeNaOAUK65PYSkdK157hF6rPJd7Ax++/MjNDMpKWTNFnETBj1P6WhfD0gqzk6xM4klnIR/q
e9aXelTp8vY0Z9XmqJpUCeSqTmHhEf7qGzXKcD4oYFQ/cMP+CzMYcCd+fS1+bb7fvL0Uxe88uxSR
1xEKcoDk93DA80uRrjZUiywNQRxxvT27FOl2A4gG7OZH7jmTT/iCDWHApp2Jb92LmPwjfAHawNtL
Ea1Qkw4kOpOR2nxFaYlryo9EdPKm5oKi7cNYmtwvx6rUgCXYSn5hiBsNUQr2Bs5ri4yAcFpz8ZWZ
QeuFuAsD3TFOSnE/6vc3ZWcuW67O2O7z03KUpnkr63h/3CqAlDNkiyi1ETyPZrd2XHsRWCAPAGjL
RnDQUmdIphRPr7u0XOmBn36kx5MicJ7fmp1NWpJfl4ouDmcaG0yvuI2ReJ9llZ4CM3erPu977Fky
P72AJLRUQl0/lzTONxpF5nUnu9Okk9yZhIsT7kzF+eDWN1bj3bqJjUXKkMpzD7feNR0TcAYz6ZLw
Oj53atDRxAQjiDUUZV2kDmYuNfmpJ9F4krrDud/rXDKOdlcF5oVvFGd2HVD/9KMvgap9rDMnn0mh
us0jo4eO6F2XLQKCRbVu6PwgKVJWSPHdyXKUCs32FZaQF6kcnlZYxiSpdxyOzkeF2jI+QOjyl6r8
MbdCdTLyR6h97p3YdXHVrbHhbaqe2nv1xe6o/VY52W1h0Caiy+d2rCsz3w0uAswx6Trp7O5oGLBr
oQaHm3t+JJvpmT0Gx+2QeWstrC4bEyS9N+SWCmVSTS2T486MpQllPgSXIpo0JKmh8clRyTecOq6i
lc1RNA/Syt44aj4sY8oPk9bEOCstHGL8cqsWhDXOaHkXUgNgPQbGrQM//6wY1B9xZnBKlWYmz8hK
nLPYLz1siUviowhzJgzro0Uap/mRB7WCaCCH921vADHoXzOxM/SG7ActSBrdE9lRU6pneZaD84Jh
INBLl6vSgAcphrQMe8RXW6X5Zub+pygCOCkR8kbuJYWGAlxUeUxunArR/2r8ZAUDIHL2PfFcLl2N
gC+VLhQ7/6H7w7zx+2UDAD9N6Y2eypBG1mZcrHMzOeoRV9c9bTMo0UbXIL45omwgZ+FnuXOvjQR9
jRqd9KkvWddl7Rl8bPXEzenmluwGg6QCH85Gli+ToT6Su2BZROFlEHhzs4m/dnL53XDKDPwbJsJQ
YYVQRs0McEM086anBKwybYTSURsDK5iyAMicIZqlcGnkQrml01ibVfXwOdfUZtIqOWT7ERWeeixm
Q9+uI3eUaVeQz7q4++6LyMsUMVhqYo+ZEZZpBMcOYZpJuBaKuM0mgMMMdGGVuBVJIrbrRZQXIf/Z
i7hvEBFgOhh3NSFhh1HEJCFILNxSJUglboQOtMSj+ZtNQIl9zLVCgKlI1QWfD18DQk+HELQUsSgf
eOaNbTdzCFNtEa82o3xZOdq3QUSyng74GIjoVooGaZ2JiDcl9G0JgfVG2vqExLaIjfMECGyii4jZ
FbHzKKJoPArmpQsHIhQRdkKoHcqE+TZJyrRQqnEiZUTkiYjNBxGlq4TrIc1RfDwieHDPiPC4vwhV
WYZjId/SoBn+v0k/H0OBnYQ6mHl/0u3OsyCtP2ZvWHd/64d+P9CvGXrPL2HDcF7nsvef6Z4e+Lsh
4htYhM0d7D/q2qpBLdzB6uX+RcIaZ6n3+G1JQcqDXgZENEDk71/PUQQxR7+ahd8/4Fvy4ttxfv0E
u2iK/NuL8OXvzAS/82wqbERL6I0g53t4UmodL6YCniKiJfxPo8+BF1PFOz5bLm8f4e885t/5mX8w
FcI2au+psD7AjKBJnODs/vVmKmh1sTByMh9m/dDmAI454d/ey4HFQKSIJsP9C57Ei+XAzrB4AbDA
dzjAhcAkPKzQVyfWX5wOr/eExl8ZAWWe8cXTI0toWUL9B9jncDcDc7D/uYCYEVgfXV2/WAiCv8wZ
Cm/oME8EmjdZu3vuBg37YNIw2/zFJCgcGQaLAWDzUHcDbK49J8EW2plQYElX719irzy/LNkUQkGd
xfKQTB/euai9zvL/+TUJE86WSfKxkn54vZ4EFdFhxPRs7eEeOrxJkB8O7H3ORQcyBX9nbodfrARI
hnixIcgM+H6Ql8ObMsg/XwnOB3AeCg1UNXbekByMFEfQXHcOdTuI0sjeZwI95xgiargmi9frMAGj
RbJl26Dr90BXgrL/djA/0KRDQKiTkdy/Xp0JIovge6wUIsmD3A7y3gcjOkqWEGhTxXIQrzdBs86h
gRizqR5q1GzsHyyxEmjWIvH/dT6J85BtK8bDdXyAt8PDEt3ndqCeCy8Oxf2HhSASstdxAqcF4dR9
2/RTnH54U/FGJfSf3xGseZuLUP7V8cjJQBJBX6B8qMfj4wfbZz2Y1PcV06Bg9bggXq0HkUraNBWw
Kw70eBQevHtelMYH2i5FFiWIDrzIE15sCiZB3KSEFAd7R+wPrJBLikYRKOKvnl6ECZSZLO3xDD68
w0AwdvdbAsgJitogtpVvnl7/gO6tRofN4915oNtAtLbsNwcaT8p5SGWTEqV4sbFebgMQWRxTEAQ9
0DlQ9keVVMAEhCVxjPjFHBgfoKlzXgI9idehQgqC+bXncjA/0IyFqq/8CCm8Xg4ihzJMKPgHC7UK
TZq9J8GmvV+VrUdw6XW8hNQ4N6cJKeZQgwR178ORSoww4LJQLH/YFDvuR2iFFk2Ij/WJQz0f9t8U
RAKcDTzn4xn5BmdT4YYYCrIPhwosPCb7+wWNYI2EA9YjxPR6PQA2yibIwn2rDBvwACOG/XNq+QNm
gUjDPu6JN7elQFz5tg6r6EC3w2NRYJ+VAM4mDkYL+ZT715uVgHMCsmsaBKsDnYRH2GefSdA/0FuA
GuoTxPQaZ+OOoIWNahXnhngdasyg7Z9J0XlngKtyOOxOJ0WhWlZlIu2DPR73z6TQTURnhsPxEWR5
vR5IqAzCbHoWDzVmeMO4/OfoijgZFOJkSJL3rzcXpZBWQnKd+PFAT4ZHLHSfk8FCJMp0TOTrH7bD
m5XAJUJLBgfDIfM2xEK+/xvtNxXEAxBcn04G7oMXySWbApN0bpPHpuLDixmETcV+2QQ4vO7gmE2T
zcN6eAM24KiIDYIO1HSom2J/mIHbEGbKzz3xphghcFd0Rjg4DhVneNP3/s+PR04GAgKyiF+dDMoH
UYrQkUI51JWwdwitsRIcSnPU3h7uCBb9mzOBCJoW/4dE/gDPhP0PRhuxgnsCy2NZ6s0kKB9AH8Cj
1J8h1UGmVI/Y+D53BBvfRMgITYdfrAemAi1EzsdDjR6FxO1+d4TmfHBoN6FC91iReXNRyqKPk0tE
O9ST4fHI2mMliIK1Bk+Hzpufi/71yWDCgDSAGQ70eBTe6XuuBA2nZNnQ6E96eL1OriG2YXtGD9LB
AvJCZnXPSSCZIpXCd/4RZ9lxPKKuBZHHeTg0Dja53h97pDahMBfUJ17dkywEhd5tKjePafeB7gmh
XbvnctAFg0+kzr+uV+MJpgnPy4eT40CnQntI/fc4IzUD/oJqch/CeRSv18eDACA5OiD/Hmwc/XB4
7zEJ1G0hubP2sXq9f72BGdQPbAxc4EVhl7V3eCGk/hDb7jEJmikAJ0VHuOFhzb8+H8itIVqzTA42
bhKOHHueDPAXaOSlTP8ApezC4/kmZ4cw0eB1qBfFIzK6z3oQGTYULlG7fXrU19ETtsPMw8GisPr+
gYP9QdfQkqNB7GES3gQO99cpXdeigeQwT4b97wh8enTE6w108u5fb45HMiqhr6cJ95SDnARj75iB
OwK2hkmN5hcxg4AeiRjok3mIMQ/1ZDAePtgeJ4OgOUFiI4h8vCneJJeUr8FbiJ4OdhL2j6Nxh0eG
SDznqzia6hTfsFBgONin3ztigszh2NC4yJgejgQe9eXlIBMxITVtP+Ldfyti+hs/9LP3GE+C+O6+
NRkjz2d+IX/5A099u28HeGxCXd/9+1/3nccvflKYiTyM/WAgIr7+z0tvkfuw8Nl3n8LE+3d6/P3H
R3z75i/e7Om5nv5xFWzLm/IWIYJ7e5THDyrEzf/9r/+N+b+7m+d908JuWRTUn/5ttxHKz0jp96Pn
Qbp9GkhMjRhcxD5P/7bP4MnNXVY+DfRscFbTn/P41sLlb33yiRA6exrn2dhcXnuPPb2Jb1r+JNXT
WM/GZ2/tP34WN9WbPymzTpDxDoOndYmkbrbTblscZ3u/xWwb/3GWlTvnnwxq7/Hn8R+zrGTxPI31
bP65jPYef1Fuq3TX4MQ3ew++jLdp+jTOsw/+Htt11STfs/iufju8YDfv/dHXSb4tg5v4aag/P70g
ze4/fDrsmHTBv9x76ONtuWPORYF0/6GD1NtxEIius73HPrmJdpxhooviHYauqu2uOXmPDXqSVX/8
b+pt4+2umXmPLXp6c8cB/DQPzxbie2zR05tyl9+X0Ozee97F2Hm263QXHNv9h9+md9ltsOv0Eky9
dxi/vN3ePQ3057wLnsv+g2d89qdxno39Htv0NNs5J++xSxkaTdXtsOOTv8dOPbvJdyx0AUXuPeFn
2/bmbeyIoMJ7bNENtsLejuNLVB72/uTn8c3tLh1bAVO/w+BNsiu4E4XZvQe/DAgdq+Bux8yIct/e
41/d3JakBGm94y7V3mOXCsvoyTYNdr7Be2zVhzco05vybudBJrqU3mGa0j9mwdbbNUvvsWv/jrH2
fTa3RwIl3uP37pTv8Q4nTVD9sfkeVPmuuXqPzSye43fOVu/wFJiITG7K77ttRN5jW/MMf2FU8j5P
gYjh+LT8/7wiRf1n/y3h3+zMCfV32dRgGLsCNlG02f+TB1UUDFnzNNSziXmXvZzFN7uiB1H52P+z
E5gkOy54Ub3Yf/D6Jg2q+KapngZ7NjXvsnV/pye/74r/uPVvdk2NgPP3nhoMXrjDdgRtAiHff/QG
y6IdV7xof36HwQGIkl24nFCd2Hv4T4zQ7NqrQi9h79G/4lT0NMyfi9F4j336GxXn3y/FXbDszzL/
W7D2SdJw16+9xKLFT9zG25vyP/8HAAD//w==</cx:binary>
              </cx:geoCache>
            </cx:geography>
          </cx:layoutPr>
          <cx:valueColors>
            <cx:minColor>
              <a:srgbClr val="DBEAFE"/>
            </cx:minColor>
            <cx:maxColor>
              <a:srgbClr val="2563EB"/>
            </cx:maxColor>
          </cx:valueColors>
        </cx:series>
      </cx:plotAreaRegion>
    </cx:plotArea>
    <cx:legend pos="t" align="ctr" overlay="0">
      <cx:txPr>
        <a:bodyPr spcFirstLastPara="1" vertOverflow="ellipsis" horzOverflow="overflow" wrap="square" lIns="0" tIns="0" rIns="0" bIns="0" anchor="ctr" anchorCtr="1"/>
        <a:lstStyle/>
        <a:p>
          <a:pPr algn="ctr" rtl="0">
            <a:defRPr sz="1000" b="1">
              <a:solidFill>
                <a:srgbClr val="475569"/>
              </a:solidFill>
            </a:defRPr>
          </a:pPr>
          <a:endParaRPr lang="en-US" sz="1000" b="1" i="0" u="none" strike="noStrike" baseline="0">
            <a:solidFill>
              <a:srgbClr val="475569"/>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118C-446A-9A53-61C1528D7679}">
          <cx:tx>
            <cx:txData>
              <cx:f>_xlchart.v5.6</cx:f>
              <cx:v>Amount</cx:v>
            </cx:txData>
          </cx:tx>
          <cx:spPr>
            <a:ln>
              <a:solidFill>
                <a:schemeClr val="accent6">
                  <a:shade val="15000"/>
                </a:schemeClr>
              </a:solidFill>
            </a:ln>
          </cx:spPr>
          <cx:dataId val="0"/>
          <cx:layoutPr>
            <cx:geography cultureLanguage="en-US" cultureRegion="GB" attribution="Powered by Bing">
              <cx:geoCache provider="{E9337A44-BEBE-4D9F-B70C-5C5E7DAFC167}">
                <cx:binary>5H1Zc9tIsu5fcfj5gl0LgKqamJ6IBsBFu2TJ6wuClmjsaxXWX38SkuwRQcoDnWjGieFld0eHDWYx
gQ+5Z1b98779x328WZfv2iRO5T/u2z/f+0rl//jjD3nvb5K1nCXBfZnJ7Iea3WfJH9mPH8H95o+H
ct0EqfcHQVj/495fl2rTvv/XP2E1b5OdZ/drFWTpTbUpuw8bWcVK/uba3kvv1g9JkDqBVGVwr/Cf
7+11HPzIyjRYv9++Rv58/yGoN6UMHjbv7KxKVff+3SZVgeruunzz5/utlcj7d3+Mf3CHuXcx8K+q
ByCmdCY4Mig10dMHv38XZ6n3fFnDmM0oY4hgJn7+7OU6Aco3MfXI0vrhodxICbf3+P99S2zdCzyU
v6Y8jPvhoQxIeADKn+8/poHaPLy7VWu1ke/fBTJ7fGplZ2fDHX+8fXxEf2xj+a9/jv4CHtrob17A
PX7C/+nSNqL/Ae2LTXkP/P/9UAOSyBQmN7l4/PAR1ATNdI4Fw0x/fBfgVXh6z54An87XfrRH9BOg
HlEcGc5/xSBHD+uDAM2Rzgk36RPQbAw0mRFGdGaCtniJ8Bs42g/xeIEJGI9Jjgzk2yzNkkNgzGc6
FaZghD3pbbqLMcOGqetc3wZ5Okf7MR7RT4B4RHFkCNsZGJ8BYakOgzPCoK8pZa8obTLDVOcGw6DO
XwrzW/naj/beVSZgvpfuyJA/z+S7v1JvE2/kAZS4PkMGIZTrxn7gMZ8RnVIdzPU+a/1G5vajv2+R
CeDvIzsy7E+SfFMG6/gAwJMZE4QbOsX7NTs2ZoZpGAZmTz77yE17C2f7Ud9ZYQLkOzRHhvdfcR6k
h4i/+MwU1DCxob8i5mLG4GMYbGTHp3O0H+UR/QSMRxRHhjDEi2kg43V1CGXOZqaOGOBMn2QaHO+t
KJvgGUKDOmcjK/42rvYjvWeNCWjvoToyxM/X0SEkWswQ6G6GxGtYk5nABjY5M7c9tqn87Ed5i3oC
vlvfPzJk/0rWD1l5ANvMZ+BwmYgMQdW2ACNQ04QA5mKfNzadof3gjugnwDuiODKAL9f5YYItAhG1
jskrrheBxAkXOjL4KHMylZ/96G5RT8B26/tHhqxVKXUYrWxgQgG6V/wssMCGoZsYsN/WypMZ2o/t
NvkEcLcJjgxdZxO/u8ygmvL362Ydz5ihgxIe0iXDZyfrqc8IWGbIeo6E901M7Ud5d4kJSO8SHRna
dxt/fYjkp45mEPyakB/BT1BDaWrbGoOepjoGcSb7rPF0vvajPaKfAPWI4shwvtzU64MUMsSMmIRx
ioz9qZAhbMJCB50+cqWnc7Qf4RH9BIRHFEeG8MW6DPJMHsLnYlB01AkDl+oJYzC/W7KMxUyYOuNQ
6HgS9m3z/BbO9mO9s8IEtHdojgxv6EZYQ8/B+hC5ED7DwiSYQFfB42cnF4JmJkcCFPhIqN/E1H6s
d5eYAPYu0ZGhfR2v7zeHCZe5YALr/CkoRjtFStDfbEh0k192/GUJazpf+9Ee0U+AekRxZDjbWVwd
RIeDnR4EFrLYr4g0gfQmpyaY6m3tPZ2j/QiP6CcgPKI4MoTn8TsnKyH59ffHV5TPGBGmQZ6bSsSO
0w0pMDEIu7G3LvUm1vajvbvEBMB3iY4M84vsIbv/+/GGeFoXSBgCm0/KGazxlmMG7WKGTsD3xqDW
X6rtyQztR3mbfALC2wRHhu4CWibTQ4izOWMUQx0ZvxJDg9/NuAH/4JHOns7RfnxH9BMAHlEcGcLX
cQV9yH+/AFMInKjJQGE/I7yTEEMzAa6ZAfXnbQGeztF+hEf0ExAeURwZwst4k6YHAdggyMCC7Khm
aAoTHEPBeZTqnMzJfmC3ySfguk1wZLDertN351Ug3119D2R+CB1tQLmJmJDh4vtzI2CCIQ2KoGgx
as7/X7C2H/HXFpqA/WukR/YWXKwfIFFyAOk2Ie9FQILZc1A1TowB+MiE1k8dj8CfztF+zEf0E6Ae
URwZwidpdwjhNmccEVDg7LkiOY6noMETDLdpcj7qCZrKz350t6gnYLv1/SNDdlUl37P4Qf390gsl
KsZNrOu7tlmfYRNTBPMZ+/LZb2FpP8A7K0wAeYfmvwDo37O4ddPDxNVfP33cPVNzbx2aYzOIe01T
4Oe85lg1Q+xkYhjNwKCbHz8/f/tpkgoSyr9m/Z4C53087Uf3Je3WPT7d4u8fyn/dLNzt+r6EKalU
HUIB85nBoPkWnKsnkHbioyEDMvwDbSPDB1B+meZ4G2/70dyzxh5Qt/4K5kH3UB0Z7meb8hABkwGz
rI89QM/Trnvkdpi2wZTAu/AS66n87Ed5i3oLzP0jrlvfPzZkYaz6EMkOcwagQe/ez3GZHW8KVDJc
g/auMbRTGXoF2y3yKeBuERwZuudrKTcHkFxwp3QYkeDiuUlgt5IIkTBc1rk5gnc6R/vxHdFPAHhE
cWQID50PBwCYsplgugGx7nN5aWc4ncwMigFeMYqGJjO0H99t8gnwbhMcG7qbFIpJwUEKDmKGh0iX
sefm6rHxJRSqyMykdOjcfGl8L97C1Cso7ywxBekdoiND+66ChoDkIGNtIM6cCF2HEuJP33lcPKSc
YMzJqHj4Fp72Y72zwgSod2iODOkhF+sEG+8QYRTMq2JQ3DCzOioQw9Yx2KQcc/o8wrwt1m/iaT/U
u0tMwHqX6MjAvoA9J/7+jBb0fxCYQv21e8xOfz0kPQjh0PCFxvnoifzsx3jrbibAu/X940NWbcpN
dwB0zZnJTMYoem0/ETwzYTsRk443jYHnPZmnVxHeXmEayts0R4b01+r7+gAoDz4Yhp4PENLHz07v
LUxBwVwqB5y3lfVUfvYjvEU9Ad2t7x8ZslflGvYMOQC2FNrvoPuOm69MuIE55gbMp5rjROZ0jvaj
O6KfgO+I4sgQBgdj2AooXh+kLAy7uMEMMgwav7aLG55BxRDDUMyoq+eNbO3Het8iEwDfR3Z8qL+z
NrD34CF8L6gVG2QYYH32pMfZTRiE0hFBUHAczUzAg38DV69iPl5jGuRjqiND/K4CET+EJodcNkXD
6OIrwfPgaYtByI2RlZ7O0X6kR/QTUB5RHBnCT9JTpuvy4TA5MegFgLkIiJCf9woBPLfSJGCzIYuC
YIhm2x17O2P7AX9lnQnAv0J5hC/AabYuqkPlvCFxohP9uaoxRh+0OhFQ0hLiqQVspwCdvnsDc6+/
AeNFJsI/JjtC7BfgrN8H8j77KX57GjUghnrblssMWoMQYqDAn/oOdow5mcEbgQ1O90j9L46mRBCv
Q767zETQdwmPEPYL2Dr6EG7c46wzA+f92Y2DQseWuh/2lyHguwt9j6hPZup11LeXmIj4NtGxoe2v
5SH2bYWCNezYB9lv+lqmhcwgNY449Hf/1C1PzWG3kzl6Bedt+ikgb1McG8KP0bi1Lr8fJh7XB2U9
1KVfn6MyBYfdSGD89fEzgvut7L2C+t5lpoC/l/Ao3wG7rPopVvON5hz69BnsNYN+zkmOy2Cg1GHD
OLD4401KwIUeVM9Ern6H+9Yak0HfojoyxO+gSwVOyPj74R4au6HTDPz2Z3HeY8OHHeJA3Ec2/A0s
7cd6vMAEoMckR4bybbApD5JkFbDFMoIGBf7U+buv3Qwugtrn+yOzyXztR3p0XxOAHlEcHc4yCrqs
OoA4w65xFEIt8vOsjD3BmAn79howajUy3MF0nl5DebTCJJxHNMeGdBavD9a9ANWxocK9vyEJrLQu
QJx3MuiTOXoF5W36KRhvUxwbwsMGn4fYbAhq25QQ2Fjq2RHf8cOggwFqKJBOG0dckzl6BeFt+ikI
b1McGcKfoHmzOohZhh08wehS9NphKI+FEdhOykSjJuE3sLQf4/ECE0AekxwZyl+z+BApMjgPgcFE
LHjQ49wYWGoGp53A8OS2IZ7KyH5gt6gnoLr1/f8LSF8/le7XOX/OWq3njycEvjiY7vdXHx8OnG04
In3uw96f9X7q0T55+PM9dHTTJ8v5KxM+LLTVxX37aNV+QrdNtYEk3J/vNVDdM9iNBCAe9lg3qACk
m83zJUiKIxPSaZBUg1MShkspbCTswxGGMMcHXzUQHJYDmgEP7Ycyq54voWErfgRHJMF0ENX1X4c4
Xmdx52Xpr6fy/Od3aZVcZ0GqJNwVh5Xyp+8N/BrIgJM4OPgQiBIDNiZFYEjy+/WHYaIHvv7/dJ6E
pV6R7oorr7xmYZd8CHDOvmSxTk67Joq+dlixBVc1umi63LXqvvYdbNT9JyYadeujLF72PQ7OTJG5
c6apcp4GhT/nBbqMY19c1BS754YhyhvaKqCv4aQ3p+oVn6Msb1caF6ct6QtLKl+tcE6j+8BF6TJM
G9dBXd9YZS7bb4nve6dZ4feWrqnQISnqLMl5bndl90mQwvZjuu7chJ1WJuYLlWnNWRplYl5mTWu3
Srh2G6OriFaZVQVRZAuziCw/MFbQHqisTFBVWijsFbF4GG7yDjf6jUoTp+h77wcL869+67nz3q3t
IMpPw6wXdhum0QnpRWMrnZFrD3tfUNSdBhUtF3qe3hhZgeYBUtpSmV5/2nsVPfV9xOYxjc+wVsiT
QOnCQb6vL6M41ec1Ie7KxDW3AsOLToskbyw3q2/6MkytPJaxVWlGb2mGMQ8jnlnEE5chNSKr7uDp
aJXmfwianDpJgPGVlIQ7HWvyk8KXpxUJvxU5a60kVqkFB+2Fc+zlp75X9Mp2awBMa3DpxFqEFq6J
V6GuWZ1WenZr1MtERa7V9VW+rjMvvGiVvtGiDDkF8jIrMRB3mjS2o9C7NSm7SZhHrahtl6SOP5Gw
UeJcFyqwShJf1QW+zgj/hDzJ7JgGJ7mGli1RhsUKY+7m8DumGeVWXOvehZRGbrM0OZMUbwwjqxbS
bG5rPwotSerIjlCqW0mCrpgnVmmSLWtqnIetuMgbtPRxReZ97GHbdM3rzg0XvRdcJX2gLFMlC6En
ntUb3YXR5U4eaR+h5Tt2+lY/M90KrlTut4SU32mDC0f4/L5l2TIzuo+FiHyrdXPdynKZWColXXJZ
REYmbdhNsLrXeV/amBqlv3Cz9lw0aQ5SkQTROTaLsrKqLs5Oc+FSh+GyPfdMEpy8PN1zS8jvs7wr
A89/Pqz11x//dZcl8O/jcZ///svhrNd//2m5yYbsvBx/aVDGv7717yNDB+X36/zQkUp9OjD2FX37
24tvUsYYTqh4XRmfDSprVxcPRD91MfhSOkxkQSkKw26tSMClX7oYzSBmHjYfYdATTMBS/1TFJmzm
Cx/QknDMKOw8BUQ/VbEBVU9Ik8P+7NBFPkzHv0UVD/0P25p4OBEPkqoC4jU4VEeH4PylJsYuVV2U
M+PS7zVafiTCj5PUTrsEO76vVQz0kiTBheQR/ZJnZlssURPfII3aAtE4ccqgVYGtGHJNq+OmLE6S
rOxBA4BUWJUhQzqX0j1taNz4FnhCfXSTJdHnvEk+mNj/1jZE2YzSy85MC0dPjWDeszawvML/njHf
tAhKiQOHrfpWhzTQqNVSpGFkJyTqnIbKWx+7X3KR5v5ZBnq0c2I/8dpPUQySkQRVv6yNMsozx4dV
TTurOpVe6Fpnrjo/XAV64C6IGzdzpNLActM6/07C/ptXh6atzMS1cZ4uZBs0dpaEqyLUVkFQKKst
0++IluEy1kCiej35GHjaPbnI0+4i0yOnheFpW8R9ZLuxe4cLfpNkaC66ehn2N1iZH5tafja5N9fT
shAX/z8K4kuRAisNb+3rMvhyJ4d/u1JPVL+EEBqEhiMAERxaYMBmfLDgLyGEwtOwLzocLMVhJ4qh
YvwshTqkMvAggWjYfgLOQ4Bg6KcUDlOUsCA0IHDwpQY36qcm2tKV4Ak+/3nLIYLfGEkh7LAPJxmZ
kFUBD2voOH0phaqnWV5UVXuZNlTM68b1cyujIQNrw5r6xtSM7jRs6zSaIxSpryrT64+RLlvwX0Ra
fH7x9PZxA5n3MTfQKgV+HpxfDMffDnHCS270tMsj4Vf1JSlSfOlFfepaFctM325rlQmrbvTqK6tz
DaxrwlVhF2EZeZbbS6bbMNeSPgilwOsRvl85JI7xx97QOF52puFucKfhdvF7jgmowx2OwdeFsWZh
MNgRBo04DpgP2HbqkraG5zlm28cfa8hS0YViXWaAp9Li0AmYy62emV1gdRGiy6QuO+yUdaYe/FZK
bAdabjgSjiyvLZX4qLZYaUTe3MtC/zqqxGkihS8dcJPFJ+kXZ1HcGO08kJp5EZR+nSx/f1e7MMCW
zgjOMISTNmD+6/GmXzjJrNO8RgP/6zJVrviUeRwTS48IvBp5WrXXTVuK29zF8Zff/+zwrr30zeEc
TDgDlVHYhxhmiAkd2HrxswZqPT2XXnqZ8h5f4sivLlNZ2gF3/U+//yUQn51fEtBty2DaHCYp+Og9
y1O964vSzy55jvR10WRlvHQV74gV5f4cFVXc2xR1PLPB3WyS//TSDC/F9o3CiwIbR+mwQTpsJDT+
eQhzAt9Lk+CSgSe1TsLKWIPdAB6MPpFzs8wysDkA/bKJi4ZYRZSxjYqFPGlEp5+3Ji2RTZswi+wQ
3MWPtMwJdXzedZtcq3MHaX3CbENkerkyqNlX1u+f3rB96Jh/sP9kqIfDGdQQ628DhczKSA3D1S5w
5SbroFTSs7AWKXBPadel3mnjB9F3j4v8vO0Lf2FmehvYBNfsh2J9n9ngvjNbz8J6E5SUPdRG7rPT
3zOpGzsgU53CSzQU+aAfx2AjB8MseYBKX9GLUC9yV3BHCb9ftqqlYqHqqrLLtkA3ddIZleX7PrNL
nC4lKfNlrOfEjuIi+ZDHRtJaLG68z02YZCedVMrKjSL/aMqIO26RunaVhWFgBYqGEL2EMr1sck1e
FVpP556HRWhpvZsmNqn9ZGWYKv5AQu/a61LaWnHFikvlFneKJBp1zJrAgww6ArpBr/reQg0Pz2Pf
4F9dVOmnvsnxee+1tbAb5OsJ7JTdBScaL7vEajreO7gxNKcP2/tcFuq2QhrzrSaBeNaVRXWiu4Tc
FT5uoqXLNBxYvR+532FOoaytIC20b1XCEifPJTmJsjQ/wYWIH4I6N0HuaRLdBsJtmVUXundaumVl
d/Acllgn4qpoknauN2WxwLjF9TyGw449u248Xtg18d15ImnpVLm48l3NQw7GmVqBqSGNnaLQtLhi
8Zc2Qf4ZKUV+a1BlLCsRagQioKRfczMr5xK1Yb+oI+4ttLZFayLj5of08tywe6JQZaUeqb1Fq8IM
hKNp5p1XV3xRZq7vxIomqxS+asFBFWUGDzqpmRXKMNRs5jbMYpnRQqitYtemSkuTZWlGc0+vOnTT
UKw7gSxRbIXwJqkFVY2QS3C12nMz6vvYvamaQiWJ1QVxl5YPvusT0n+VjdayxLdECao8u4e4KVS0
hLOjqipHlypSSdSeiqAAT1FUyj1JyiDIrZDE2S1iGj0JO0oruwIMIBYtkGgBroRzJ3VdsIcqjppi
bkaNh+wyVti98gtksmwVQQjsO10bC3VuSkXhjWrcDMvGrsAWLkzND92rGkTH9OyC5xxeOBrJZJHG
QSmsuADj5c7bOjBtzYWGGcPqIDuhw9nZbpLYvqgad9HELE7m0gWvYGGkXtLbvDdAY6Yk0is78Ust
tmrZefJaBlqSzDMv4D+0qmYBclBG1DLQecUvDc313NOUMsWM0E5bWfTdSkLMUvrz3PNZMndl3RcL
Uco0WHSxmXQrJGWS2wbp4sBmrdHFyzIoAg2yGzr5rOVJjx1KzShx4D+kXcUh0iQ88jT9HCaJSE5o
KVQ8j3xlfugrReki1DKCz/zGlyy1mE98tXTLOk9vwRjT09DrSbSocuBgnqnY6+cct5AJ4WGXNxcJ
7+DV1kBUSsfFuDotqQFBtedSr3JYWgOcAZPgn6R9SPtNHMFx8A4HBhKHdolfnGAU6CsvYJFpkygq
qBNkgetALB4ZltaUubgO3SbUbRoUYW8ledhrZ8iN9QXOXQ9SCL5g+Rx3fp+d+AFuvHkkdL+xhu9Z
WAQihdfHo4XdNoHWW6oNtG8l7JTYaVYAckQucZ8GfWDxWtfoXRc3pLo0c9FlTioKdWFUKZgkSFxE
QCASCk/LDXycfu1xnPqnRZfE7UI2Rh+cYeWpOz0kxtpo3cS1OIaXd1GlLYMgzOwDYL7CYeLEtIik
zRt3HuCg+Bo3DXgWoRfWt9Iwm+956dNVzRpIPPEIsoVWyl1Yx4izsF2kZY0v+zan+o1UBr7DSoNv
NKYmua1wx1pIJyVhsCpbQpqTlHmSXAUaE59SVAwvZxgWcsli6cvrttMVt1HRADZ+kwJjmQSlewYW
THyCFCW83QloyXII/9rsREnhkuuwrKLoA+Gp0E9aPWyqC9Wqwfn0u/baiDSznWdNAj+dZX1fWy1J
VL9EERtufmC9Af0EfOUJvtSNFO6iKgx4VH6URb0tohpEJ4+9KLhJSwYiX1bgFXhwDXQqUal/VWC9
K1OL5pCCPPGbsq0uEs3PpRWgqmgXLYwF03lXF2RQGiBMNtwRKJBW4MFPhtTeJxcOBjjldRBwi/tG
BO9F55nrJqXARluG3QeqWiTPPHBzw7MsT6PwloO1WMoU4ctCeMVXmGAyC8vX/YCcZtwT1ZnrZ17t
dCUrGnBwO7rMCTxWG7Giu4/iyLhuK4myVYG6OvrcmIknV4mrJT+6Xgw6JChi34E4gNN5QDpfLnIz
EZ815CaLpMm9wmI6qLmubCDTlyl5JpIoNByDlMQDtQeHyVm1T8SnMtRqbx6TFMSkh9BYnOhphotN
Agq5O4VtlkE2mkFjz0NDgyfaQlZ3DkamKc5wWRHTdkWsarC0tEbgehfht1LU4k6DZCs+7YUq8YOS
aSetBGNWnwQNgaXaBPu9rTee6Z3kAEtja5EwF31W1+qi7Vh8G9aysDiTKz1pa2PVNyaAEyEs+2Ue
R1l2kZqtfq4ppGdzv0iT+szrmty3uSET/w48EfmARApqBFSnrK3Il420RFPzAqxAV9zGXoGDLzjr
Ka+tHjyw7mOuqCZgMemWc59pEaRJ3bz57ntIq+2YSTM6CQTCN63U3H5ZVoUM5kFfwUsaEBXS6zaK
e+MyMfM4toq8RuaFjn29tTvwbuS88XNAreFp4FllD2k+i0sZz3FL29KpY8LLZc8LePsjvfWY07kd
krabS7P43Bgdvgv9Et41sHTiE7zribxORYpBwZJchAue+GZjtdVXwquGYyuKavbRIGnROI3hKf1C
d2NefyhcKUow7vBGz/OAApoQOHTteUBVlJ2zMvfpNWlRbJ64bSbgvtpW8y6iUssbJ5Eu6Azwxip1
Eccu8F+KyFtIn0e+07QInXSFDnLfmSYLLN312WFyJBfBfZnJ7IcaZytfJiv/9d+X0kQQPv8mnfJ4
uM3LBMxTVWqg+plOgfoSg1man9UgCk7/r3QKbGMC3R8cDiIzoEVgOCPyZ1ITEqEwTgsJE3BYHgc3
/p1O4bPh2BvIi8FbD3vtw07Mb0inEMiBbodGUF+C/Qd1zGDnHOhFGU6ZfRnDto3rgSlw9auoz1l3
0ptZQr/XPlXuFagZmiQXGri1K+6y2NYq/7bTPd2KTD13UlIhC7tmYEHUF80roXRHGglaoSYKHd7S
0q7qbI273rMrI1j3hWydhEJaoJTmWZx4oOXd8DosQLY8V83zROpWzUG+edejVSBM6UQVdsEFjmqr
0ZJ67pcqdnxTnVVpLizMgs81Nm8Cmi7NOCntrHXSul9C4rGxapQgKwqzm95rPmVmdiJ1aVhBnIHr
ojTPFqBxrKDs1yIsb0yzQLBfLTEtEZNrglR8Uel9tgCjnjqQ9szAny5+UNdbV2Gl7ERjc9VtmpYY
DsQU81qjngPJ4IuW6J/z1Muh8tXkK11CFFXSJrejHPsWzTTIqXAB5Ye6PaN9EM5J2W8q7i6qrD7D
olliBg5Kni0llfMS3H4S4ho85zyyy5pulIAgr3F7SyCL9PQ87fpVb0AwUHluaflM2XUS3PEqTp04
zlcJ5GPaLLyLheYold7kJTqDPLUNWgRskZHc1ABpleiQP2iDMl0qDepy3MxPsZF8T6Uf25AFOke1
OAfPMLX12E3NU05JeYNblLvfwjL2yFzSzEtvtF51+TLBaWd5KEJfuj4UmWXW0T3UXBetXzagrqt7
If0FnPjj2Q2Hy0HVbAodSzuUrbCSul2pzr/UU5dDravtFoXyfzSaWVoh776aSNypvr3BNf4G+YNT
lPVfgzoUtmlIOmee/hCQ9rRBXvct9qFyGKgcInaa2ryGaNFAxSo0yhswmytWcu0c4ti7LoDbyuOq
sDyPX7mtDGzu9z90w3AqX0WWEZlirswOrXr2A4eZDk6g+lQr8ACSXCdODB5p5Am6NLQAAkwI1XNs
OCXkymwt8++9qOjtuOr6BW/C3A47b0k0+TVoslUGYmOnPG0t8MitnMl+rrw0tzBYu7bRXZuXGpTE
tC+lQqdmTrETkvCj4foe+POEWdLtLJBmB+zXKmYRs02VnaaGbCwfoo2q4Iblm9EP6aurPNHXtXTP
zbgPragLLyHTc5ZTv7bMTJylEBpZhNLaDsE1Kf3At0JVN8uiBbOnfIotIqB7LuJfe5bNk9g4QdL7
SiOa3/aa6VuazyEpQIyPTPNvW6JZSDRfCl+HuqEvTvq2OHM9np+5mfxitu4Skmm3mmme+JRfaULe
+Mjc5Hp/mSTlKsrg3ezNrndynFYOZBY+1HW2jMAZ86pgWYa+mEetSC2QHvObrOWJT8Lqg8trH5IB
8SJpmzNTyWj+qNGfWxqun7JcTyX5l1W1Lbt1nNU6SPK9btp+7s69a9ww0P0ybnTokECDOTIF7JUI
xuOXcYNaATZgXBy2VxysC+RGf9YKYOMAE0ze0FUFI4l4KOY91wqg0x0aJyBFN6wKR55D8eENxm2c
9YOEPIV5x2G4DYwrmNJt06aqrikgT9JcV+jUC0EAP2TyPySeYeRiy37CXcBxKAzaOIdTbyCbNYzH
v7SfWCtpGEYyv6aNCJG0dENG0LdASUqvfVQWtVNALTC66bPA5JdD2u5L6TES3XBkdLaPkpacEjO3
JcRthQ9eoRvPTQq1vQB3VtVTu+viaxeyZHGmQTZPrLQiu1Uo96zOx/O+YB/aQK7AuU5A9iHoDBR2
DL04Be/xSuPR97iL1prrQi4rPwnj8EtXh9juA//KU3LOSXzCfPD5cVv+KCsGXn7QOHGhMzCiEN9p
CY4tiDpWRQ02qGLhR8ZXBZU23N4Xz0Qn4O2HFsX5adGmmxhy/pbb6lbeJRs3R5nFkxxaN1DLrUKW
C1C1565ijcPTklplQyJQfeh7K9NTqmuJg/X0rsbeKWT9PpatH1skUJ+jpJO23zX30tRPO71MF0WY
X6R+2ziiYNQxAtew3ay8hemMEqKvTM29jl4kXlraStKbuAFz09fVFy2ki76BMAiOv0gsTtSPkBWx
zQOSQW9Ddp1m+hlrSn2e60VgxVERrkxI8FsQoECTRVil8yAnoKJrHll63n/GkF2lAKeVVdoHo9FS
KyHxXZOI3BI8+qoVpW4RaO6AcDa8jFWDbV+LTqUG0RHChW5h7p176p6G2UJUph0kDbH1tpBQDk0/
u32t227BUyfz8GnJq9JRNVv2zLjPg7aB5Gl5VjH9nkPc5fAw+METVtseNDc4hRJ3XmH+0KEWi4pg
ExRGY2MZrnxSQmNQy+3MS65rIr/jMIRcnK40i0bpSRxAFkqv1SLgkK6raFjb+v+wd2bNceNYFv5F
7OC+PDaXXLVL1uIXhmzJIAECIAFwAX/9HLraHrk9XR01z/VSUVV2KpVJErj3nO9caDNXoeNmRSTG
mzFzPk1k1IXTGazgjaq8sLknixlKmZCxEHVQdaFS1USSapW4fllK733sLWzCdrNk0xNz1zhvbfyN
0uxz5DEJNcMPdsECrMSpG3YpeKcKQtu+wLryiaBlFGEECoYF16RLkrKRkIu8Zfk80Q53zzyMVTrj
+0iS9YXF9UM8uTSfqHgPvTneTcr9xEj3SbfCzxcnbcuJmEueON+Mk744qQ3zmDUFaH09lEuN5qtK
UAD7lQksO/Y+7v5qDtVQH3p8G9maecNDROY1r2OGuzzr2CeYY9kxWhd6EwfzwzD4B2ft37kWR1BI
Xd7J/g1yBpzwpCXVaNJ2x2aUr6qlT2Foyi6uu0LHjyKrlr1tLL3gEiKc49ypkWYQyWk3tGXNUQtO
c3p2kkWWEJxlobsoylfcvyTo94sMLlHd8iJRzt5JdNHj2cyDpr/SMnlu0ui9dWGAYi8c8nD1drzr
i6mxZ7i2r84ynmfTnng0vpAxpNuac6eEV9Heu5NecJw9587apIwd8uiz+EWnUSk995zN5Aam7w2E
wctVm906wsTP7Ns4QU1tEloybVgF7aRgg58nWhnUcdFO9dNVglpCDazLg3UtgXjNwLsWSMmpk9eO
c22NeuRtxqra10D1mp0/LE+Ofo9G3IlTnOyCkCa8qFG88DyrZ1RxdLSOU7mTTR4TMi37YVB+Qcni
F1Ham/6KBcEzl6FzD3unSiYBEbqjWLdyJsPeApFag72xUhVphz46DfgjG/ROmfl5nrtHPTgvLlfB
rTtG6w02vGGnuuF18L1jo4K3pU6vIQVfZV1GSsHTFpUjdN12mNLCoV274yvPHkKor5eEN/ctIV+o
r5xiZmN3VqtN0PqYAJ/HtUVomhfh4yrOzUPbSlpmgXMaJ/08QjW5T52A72pH67zH75dPLfYeSHFY
A0ani0s99uu1Y1LnIaaBLa3N5oooGQk85fqpzvRYhiaBqSPGtBw6U4bxNB0mz8z72ldwIbi0+1m4
TTF16K+IYS0ediB4c5d5B80myIbmTodNMcTenk7hlEun/trCf8/X2HvoI/msvOWeRCo+ZuH4LLNZ
5iFZ66sPtci/arKPFMCvfu/3TXcbvL3tuD7a5w2//Ljpxt3Y4xSrYbyR6VzF3jVNH2L81hFMFRo+
/fl7/VpFbO8FmgGmp4cWHonbZDPUP5i8WsvF+LOeb9K6qtnjYHeN81/c3f/2Ftuff3gLtM9dN4/d
fNPjwbROkjfT57C//398DjiLkFUxjg1sx69vohvGwEPO802gHgZ5sThXznT887f4/bLgq/rwFvGv
b2FGSKxeuMw3YXrPh93K0dTP1yJ5pfa/vNOvVum/LsqHd9p+kw/fWNdMEY8NPsxg19wTcdH4p5Ff
zlM18dPK1/zPP9j2i/+v//3H28F+jwAZYFZ0tNEtH9/OELqsynjzTTc8ewb+avxAmrPlz9/f5u9e
Ywsz/ude4+dh5783G9sLfzYbaA62nE0c4zLgH6jEfzYbOFYyw4xJMNm4t8EH/mw2NlJ7O2vFhfMP
cCHe9K8fYBKGEyJWG6IHAReANHX8V5oNIE2/3CQgtVNIchh1GAMQxOHiyb8xGoKk09RNqbx23Y4c
IGntGwLFBwIQSrXJFvPo64tl9OU+cLHdZMt4I2gIbkPwLyr0ZakdfehsE1VZoGxB5jjAatYMxdiE
a06d2S8brO0oVuO1hEDCbwaSPTUReNZJBUGxuOsZ9tOFisJDKjO4Dk6zH2z/VKdEFuuQXq7KmiqR
bDqMnTkRTgfo3tFpTVuekzC5jP3wE4n6MTdtepvNCSuFam+Nq17xaEBJicjjxKM+n0GDwP9Excmm
9TIWydNSwybzsMlmnXyKl+mcMe9iTroHJ+KXBmJYAUfkk1C1mzsenO16PidreCcE3XnEefHbpSAD
2Rl3SAqt+os+kc9goK+ChtO8iZb9tEQC5HH4arpU52LpoD0kpmrjtUE92HVloBZglfVgqzQVYzVN
kwXcwK8VVDo47cFBNn6bL/N4NXfTmJN19vbYzXY0Hu4WNtEiYp4oHH+9Cer4q2/6BzbaHWR9ngdE
3CxhvLMNP7ZwyfI60TfxmHxqhpqgXbDPcasBVMxRD2g4ZEUnWrkLWquhkSZ7o9ZbtYhk5zXdafG6
92blcFmM/ylulAdXyK8LaDHXdEr8q65ODktK7oersDnGI92IinNssc0jprRrkwn76QAHxKwUVaqZ
4Iikz00ck3wcUOR2st17XIiccfmVJbEsqbE09wdv16XwN1xSWWMPLbpAgNn0i1LBOxrb91m65ECG
8GrzhpZpQHfpTryitgsfwa/DBrcpiri6LaQYUCvGxy7yYLg2O5UStvPgxVd2Qbnlk9ju07GXSS6i
0VTz5Ny2/fyWrWxW2KBbWqAp3q9DqPPEDKfQGfxiCPtDFktQr35N4aEmaRmG6cF3iNhLtbzCJX5o
XZTAmleucQuCWxf3UfYkgykomsFM99ARh6rNyFKxZLS4EYDHeOvoVVBP0aFG3V02gXbz6yAHy3QU
WXxRT9rLOVO07AjFc5F0aCZQ9e6CQfp5jCd95yAIULiwm87WF7e103wNyBY7qPldqkI338imYw9l
OW+wGRXOOlY6lB000PVaSjwplC/LVojf1El00XDXLXuXouug+AJF/NkY76TlbRuGfa5UepOmvD4u
sbxagNrmk5lPmS/fQt31+WDpKw95XyVMs9JZHFb2K+6POUJ1HQ4RAbjr7ANbgMr1SfA2qQtKj1rO
VSsHC6Udt8HE61e7eb2+HS7rlXm5CFAS9+FBeA3iBEPz6BD2zkY8Mr6QuLf7aKczgMoOR1cLeAme
WfcAhuhbNsm5IAvuu6BL9qEUQHRRW+dOv5p8IoO4cPwluvQEf3BaPlwtEzx5UDO0SrK1Lpd1coqx
rmVBFHSCZp4uJ8XSHFADzbusvW8U7uYoJN5RdbSpwhpXHE49eDe73sq6j3NvhTqp+bQWvXXuArD7
pYt3ypt1QDM5xSB1GKt3k0UaRQ4mPDS4XlPYnBjAlnwMhlseBmfQz/du7T7UUStLz59ONarOCn0J
yGotlaLX/eKpZ5ZBXK1iLWJa6JGex3Gia2GmgPu7dq5FOdBWv6QZacKLv2uCP6JbqNn+c01wjwHu
/PX3giDEq34WBJhntOUFAOVj8BEyuB8KgmCDjrHfg8wMY7QIHwsCXMHt3B4sxcBbth/4oyBI/+Fi
0AZ+VhjjpEQA0H+lIAi/U5G/VI2QBWGrYWFGhZEm27ETH6tGJlDOM5e61/73uEm0JU8A+4xfFcUG
FbIld3nNDk5t0MB62WNtIGXXqhlKxBm+GN7dJ3zOwPX7JcK9bl737ZfRcY96Gi6YQzcTR9EcbWZZ
x9BtWOB9hr5FgATO+syH4ThMpIDPdA1C7Mib7FIzm3tKZ3jyKDg3u0L50ulBwIlaZ6dMAlOaOZaF
dNYbFo91ATXwzg/MS9YmDjZIcWuZ4yFY4zw4TasQS6I6H9p2R2oYevS5a+1n8F1owiJ6pxV1cwU9
y+PRmQNpqegq9lZK/9Ltw+umXUMIYeF5jfqrSYznVNdvfTafWz/+7NuY3UIMg6Ql6ssZTXFOfOdl
VlGlccTHqwITlM/gGVetHlvffSMJBTjYAx2Ku+7TkjhvYzThg3TZgbH00nakqTx8htpll+3av2oq
9W6qWVvN1gAT84doL6IaDnwz5Crln5Cku9bj/BldhsxZ4l8s6bA3IRSrjHMBm9LbpZrshzq6Zn4f
5NG8HsbZcwtwIo80znbjHKEdafauSadCp/RWcDcsJrFcpHq9mHXqVnPdP7dNFIA4HGiO4NLjoG0C
jMA8R+t8npFHyo3m32SqLlHckouGkasMMEspTFzNGk6kZ/yDrjOV64E8+J06un0DFysx2WmOx77y
4+ZNkOSe1HY/snmpuOQnC4IMC6DzvoT9eY3FLqbmCf/vIGSk8nBK00r6LfY0am6Ept1FtvCH+EJ6
UGwyAJcxnqeyCYApJqP+xj1Ya4nax8ioFWZUZIe/CNB2qHo58txl05RPjr73JrWnEXsJrbfPCCJc
fRqdNU2ywkgZlkLw25E2cP0024Vm7QpE+SrbJH0eBllasFVdQnHT2FLhFfsAd3wizywKd102rjlD
fDFk84k2hhaNslcqw3cf1mezRiaH9JfYryOR6qkRBugxyXgKA0wkd34Pn4LkqeLOrdtnwx04QN7t
vaXdmcDdMaeJ89GvvzGyvNdR5haN7MCADskpEcujjtUXw+Ag9lLeIuW2dxp26/XdETt5VKDtKPsl
AZOdTGXbuWqXRubKC7oQH66vhiSB9LrQgzRLWDV1OMN+TtYCFA4v+paXRi67ILavS+yXA0TPFM6o
m9lPuNAN0kbwA1rnQgzNvmEOShoYrsyDetqVmVMfKLc7lgqSL2mf23A9Bb158gZVNpElpQ+vYOKA
KYOWXiTtwArD/Dxbkv2cxSD3OC7Io0Fwxy7jbkxnWMvjsQUAmTOBOpJr6HbZM4f1kWvVXEx95pXr
0Ga7hcdjvjJxyJAvDUz2Vc8hHgJb2AXsH0OcMujtZTjS46yCHpq5q87+POPaRhD/xsOo1ddRTdd0
SUtNwwe3JRD5rLpYUc7CXRFVyPAUummTD4uX7Tzm3kdj/T7ESF9mEz+ajKSFTqaDR5KlcIboEAb8
pnbX6dz0bU7bCDRZOxVNOF7OiTgvDsplzroiJOlLF6D5idPDCDJcWXefJeNNG09Prt8f63DZQV9O
KkbR1zSLcPI+lncBwIeiXdV16KJqJvTQYQHs2+mqjlcILTIffHNb+4AtB3iuQ7Qp4bZcV38Xx6oK
HA/8nZ5KLcWKVTjYZZE5uwKmsQihOaNqGnr3S1drPzf++Dlo066YYaofvYTcbH57T8itt6YXWWqn
Yl2ddhev88mNWZHIuQF6QGjFnTY7BiRCJKxZboLO2bHO3vhZ+i3w153gfaljU2kY4zvEtkQxOwYq
bH9jkvTT0o5NwaMIZB6PIFMD+H1mQW1L0k/fqB7PzeI+dqM4UiMvmgzYF9Ttu3H1S79V3yJiq3H0
+qtmWeDcrJ+Y5695NLFHrMCVFtGtcmqJgjl7gdP/tAzLeebIbWig3UXQb6QkGGtGimaJrslMzqEx
WMZDe6yHDKFbDx1feIi1Zo9T58ys9Bzh7YAjzEW6pFXntkc/Qh4VKbq1XGTzFk7BWNoJqIhW3mu2
rtee4kGFcoGUxPd2i4JPXgfDt8QgwZoZdmnaBMulXQTch/ZJUv9Gcv8uZAIVugzzpdFfo9QvjZud
Esde63g5rj7WL5V4YLwj8WmxzmO/yIeuheMFerGEy+bB+Z+vJxYDyFvT+1UgFdwBLrlVhrZV1CX0
EAoXYdt64kvBvWBqzh/qqf9DQ/V/FbWgVyASAevSjyPQii7mi/1anugBxqnNguzau+f5c7SbboYC
6GeRvT7c6Ut5aitZmEN7Ee3nsjnIXXOKyIFeNvu/C1wUuNuJGB8uyG+zCf7ZIdz79luF+8fLfla4
m1WOVF0KHDwNg+0S/ZS8UPwmMGggSPoYOLDJuT/gMRyEhsozQM4FEBmqWPzRjwoX02AhYqYJlBJU
phty9hf8daCi/y55JXDWUSt7CXB1F2MUfr2F0oUM2Zg24zUFbnNKuyy8VGI5p6IbimhUjzFHPp8a
hsoi6db3RsJJuR0t+vNhRZkC4eY2a3qRG2ZvDQlPUnO5GzqIKd5qkSljnrNvETWH4drsCGzEI4IL
6P/7OsyBlpKmyKZB7HgCa/nekv4la6zMHXj1EBcWaA29r8PTtDjrKerF0tSFTW17GjtWWr92DsZR
30gmVsTZ3HpvPYlgjceyYzeS6bHHPPyz38bsMg0EciPtfT+ila9Sbt1d721uonLcMpkyuLTBiucX
D3juxxlQUy87s0SZakC8PTK+2UVLf5VGsEGnQGa7qVsXGJ4GtFcj5oOa9ZWnUZcbMbyomVxguEHV
uLb0NYrlkJznFRWwoVDmWjj9MMpSqIl6rASucE5qB+qFMuRbPcv4M9Crqd4N0dDkyNMg6tBo75Cp
8Q4m6n1KXTEe+7hxzG3rieGAREyBCiI+DJHV4j7GKgaUbKyTKQ+SOtwH3gypKKqjb6we5+M2MW0/
orEuVy5uLNVXIAFPomuuBtc/p8bZST2fHB6XcgWmOohtZEMRtf3bLPy71mQvfy8e37tj90/pnH92
fSvef++Ot1f9WDsQpsec9yDGWBO0n1gjPqwdUNIThHvR/X5P62Kh+rF2gC5F3xy44HYQqv9FLk9x
3DFaaRy7h/NSsbL8tRzvb2k37Ik+EpvBBs2ged80+4/dMVHJTGmQdteON7yQFsjmOnZfPBsdOyiY
OcXOqNVYJRF6iCnZreh/MjtczSnmQtQzhyjVgnkZiYONdvR3JHJ3rgzu53byqzSRYzERe+GaGsb1
ZqmD3GtTvy86r7toIhjnkwN2julXHgPyGL3wrUbPU/QOJwWJlvOSTm+gT4ciZXgQsQpXsZ2i3LMo
01y4reD8ogUAHpqwZMzGIrQukvBS2J2QKK0sIEKfdOdxiQJUheYZs1VQcgj7Jt34hIhnj4oexB+Z
NMs55nFEDWKPIsluQBk8TfVK8JS3AIkaZ867xOA/Y9oWK+l9CLekhhaLgs7sbCLrfAAUD9ZkeVwb
cmlQ0/Z1f27wmXJpW4Ua27+bWwb4gfCKCf+y9vyH2nYG6xA6NJxXjxCvnpATZPArwjA48MC2RZ32
T2kEnzp2Lfq1IpqGltwbn/afkUR5tGs4n02qr/vA6H3nzYibDerzQhA3EGyP0Sgo18cIevWMNXkM
aj9v6vSyIf5jMOgAQ14AKOH0t4qxcS39aCXVmiHpQVQG+1uOd4HTvEVdLfdIvRQesixnGb+a5RWB
H0xviV+1DeR+VO6+GzWpFCo8+Zh5jbjvXOgu7y1Z3+aluVsDF8vjd0WaqSZNX5VHr2rc30eMMnAP
MHflta/q7DrktT5ZzKEJM6yscxIfjIJo6jZui2Yhs1cBXQEHtJLPe+QFn2Yxl0kL+iFY5DsyBP7B
lSSDfBCDIv3DgPzbGdyg9/+sAl6+q6/vb7+vc9urfqxzPhazCBDehxXrZ42EwywQmEaWFm5c/JFB
xNnPMYomTCOAY7gNLMAS+KNGiv8BTxDj3rAMAuvbppD8hRrJ/73MxugDGGdAWzMMCADU/+s6Fzj+
DAKIsWvPDY06YdBO7xbtxEPnKZWYWVDxWHELaJcOtx4st9Hnx1Xxw3I8ujXdC/EdkgKWmz4iuIVk
azs9AFVQZ3fpZPNcw5vGwBzBcotltkBg5Noy8PcR5ebQ+xEobgwQkcxeL043Qb/xX2vsDQWGfZx7
d71BoqfBYqIe0QfvAXCs6PaxkLjzW9wnd30AtQOZlf5AFnQIYypBtWeo1ei3SSq/4pTHucF0PBj9
hn2qQZY5YQBl3LWmYIt3ncr6duZo1GJEQg8kXrfkVnqY4m0dY/Ohjv2XsIdJMksLUZSib5JymKos
CukBId6uylSSFpGs44oPzfPIBlOKqGd7wmqWr70Lv6YR2+ClwIEbEpvm0OiauGibvSTIfbRk+dI5
3QGDnTb9gUZ77Xnd2R0EuUtMsjzFkyK5TAANYH5JdI1dwi+I13pX1obgGkP/phESEUONyiseEoME
J9W7RiJNBUcFb+3TFHDNYA7CDzDPpQFvbidvQX6RYUWhnoJ1NJrgnPYKRi7PLIRDjeKrPYWJE3vH
jGmH7fx5GxOFkveLNwQYwDVuTi9FvwW3cqxTWhoGxFN4dANqdi74/ZBmakYmTsJiUuy9k+MTxLML
6bqk5AkWKYMxWkkUXWJFvdQOOMeGt2XUd3dLI069r158h13Qud00Cv4QkGauDEYphf1w45PkSvAF
u1tjEnYTUdvCFoHdRq941ND1EsN6UNyxuWI9RsAE4VQfmW2OI4eDB5ROwBvz04qv5OuKNGdeu1BC
MFaJ7yRXfR5loilCFX2FI6jg87iswJApXQbNUo2eKRNuP4EsXEpMoYnKdoI/ay1k1roOr0w88xL0
rDw4BIEoF9NhlhZ/k+LnNl5WJRaJNObCL+6ijCHqG05A69qpdBf3Kolmt2IqwlyLnumT65pz3C4I
WUSdX7WdBsHO/c/x4rG8tvIeenoL9WnOQGfpBIMNEI9uQddvDRjMquSd1+Stk9Bk8HQVhlpAbg69
wbiBGfeAX3numBSjtsgUe9DqhZyzXYpbH8I3UDEXRXtZR4a0uUMkJqm1FO78SWgjH/6uk/+ok/+0
yd5370L8vn18Py349ef8vxSHzHp/9MPglz6UyT6KYbTdSEdFgIK3yVI/yuTsH0hlIWGRYWV3MXMK
f/Rj+8hwyAYO0MJiD9bqO4vyF7YPL8ZP+oAeQaXZ/C033gaDp2H4HW35WCYjw5n4y5hm1z5XFsaK
t/Z79T1zEzii8auowZL/Gd4sxvd9T+jwLayzIrUT0+xCCTwBPWdf2CBPdkDM3TdkZ8MQZnsfdMuW
T1qPYgmGapyyW5bO37aUIUDS9DUbfcCkWAt1W5II06xIv09FcLX0zsFpuy+RWoIiofKC0PmW+S3F
NqRKouIDRKeDS2mPZWku2kwivk3tHkfEXvmrW8KvGfO5ibrd6NqDhS+QC8f7QrmXw/GJjipNnvsw
wSY4f0XTfonEVIfRc0gfvWQw6w3gW0y0kO/KpiVDYD6nmbE5ciLD9eo4uwUtLmZXeIfByPPEuqmY
DaBgFjgKnGUijm6Q4tMKtO5ark9cT5eY3rKhtpBYFQtV5bcBIsP+ngYj2SkG/NsDsl/R2XtNmTrD
fwfUHyYqh17wwpf680jpPfaIa2Ro8STzOtpxjVZDuOI4t0mCJUMvmDfCo9KdN2aSp3LfN1MAahMz
ClCfXPTU3vKIHTUomBy5ljfLMWTQhQacYx7EY9qFHjAU+4rMHeYtet434zsnbxqPs7EXVKFRqDMD
gx/++SGbx/lCosotbeg4WIcNtPPunTtifsb1PJvo88oRk0W3AzcfSBuFWlzfz5oaUDqM6tLzsqGB
gS/GFbMiGYFX06HWgOduWAYvn0TJsdNpCE8QDlebpgpjCyEFXWK3bU4Jk9PeR0z8iO+ld6vQbfs9
Sv/svoaGkBWd9RaRD3KND1Nkw32vorCD+Ann0rMbNp4I5V8kXTeiQIIW76wIlP29HP6xHEKB+8/l
9D/565tU/8d6iFd9LKcTHA8XpSEyM5EH1fhDOQ0tYcvu/LvimP4DJ7C7OEByO4MCI5GwiP5YDnGE
u4cD5zC5CGzc9xr8LyyHkC3+fTlEYChzk8SDe4/wbPhviKnso5VFttbXbhc8MMAbvoa7HOpbtoDz
mTe+A7XfzL3wQK2lJd8YkHqjQcwy1rk79EOe2HksMVTizg3XtWh6yPuwmONcrx5gtw2nyfCzRCKb
qgMPdMyI8vO+6e7VRqesQqZ48pdLZwC5wgWiffNGszhLVJcoKGnVTQjCgR0frlzgLzgCPbpMplVc
UH8bZBr7yBvW6Fj9DZzRUAvTjaWJMT81X5V4aEQKKXEDblyljwMInBqjXysN4wTxFv6O+USPmO3i
bLG7gwS/g+fDy+tBX64b2rNG5AtoR/jJ0WgLDFethDpS78LbmKDmVQUFDLKDlDUp52nErKYNIkos
60rRLaz0V91XPVijeYVqshj1NoJC8gwGnWYuPpBCnQef6AaUMlxFUTnrxQiIaQnTzxGgJkwWDFEv
RW6ZAXhSmFjbbgQUPGVMaUM7wGK10VFj5aUuLkmQ6NwQoo/JRlNhYsudv/FVGUCrBcCVFikGNmwM
Vus13s7fuCw4e6j4YyhDfY2sT7fxWzWbvVy56YUPtMuObZhjvGdJUwGyT6OD3ziwIYChlGpoz3GG
2T8xBj5UZCPHiHHB3gMmI46kucRaNbj0pFnyEGbrq7cxaNyy3EBFoFOTlRJLG/ZOOLA9sLXZnfwi
BsiGmcAa12/YZwGnBas94d70oRH3aQ2mMVUbsi+v11ABl5/l0Z+cLT3xmklU34oSgYyL9wyL8FJh
Zk3ppCGGsM3BO4DF9ymxdqcNer9Bp/UhWaIvHI9oDpQChS4EaiBI433kE1AfqXuaKH3p1+y8Dh6k
V9ns5excDCifc+2CITSk9nLJauwjWl8ZuuLxmR4aUn8ZGqS7RIDBPdTh9/UaYJCqj54iSI7ousgh
jWAKWeBt0sYc+IM4xiT6pBq3OU1GxEhbr/f4mfMFdvEJczykRKo1VsX3mS2TwvAdL9su3gJKDTtO
XHp1+KQlBb+6jmOutRAn7Y+YBuxg02xsO+QYqWuKddHymbg1OYimUTc0jrJ8DpDYERYUxsgfUx+e
HUFQZEG4DaNnZYsL1Iuq7gDa6Ja1eNqNf9TthhjSuCmVPx7dNXWPQ9ocE6/u9jF+l3yIA+Rqt6c0
xagH7IdrLgdxCA0IBycuMVMY5T0FYNB3wGDWKDQFRroscNebpMyILk3oYSgP/sUJoxtKshzO7idv
oedIjScZICISqvspQUe3ar5vHHSwgiPQLZh3NS3jpxZZjRwI8A0Px1uG4HrKlkvN12ddI57LMFIw
55I+xpN/Chf3YLV+MCmiPsMo3BwdVgCAYLlgGhkXV8kdt2BlfbVc1iq4ZcJ21TJ7VeL3J38cRW71
iLBz/bkl3jVmmyEP0N8MNIHkOekvdR0t+cjW566BWBcOgEIwd+az5gnmUQCvhBvdP8gmhH/ey2rq
cNdg9p5lj8FII8wLjQUQ542laySmRm103d9b+PctPPhTRez+9auCcSjMz+NB/3es+fbKn9u4hxPA
oNZD508icOm/buPg4tBW/OtP8KofbQ328SDGcE8kvmHoofH4uI//MSYCvgBwGzRFf0kV2xqkX9ua
JIGVsLkQbogn6rs78CHAgXSh0Ktc5uulS90iHNt+B4ubVlvQjieL2UESwX23ROH0gkF25x4jAvY4
gyHZ8Gdo0xjWVdYi9e4IiSsnhUnArUAO3m0xccqsr1Htr1cYU/YOikpXCcXco76r74PRiS/FBHrc
Tkhx9UCdr5D9qShpHg3kj9nF5K42S0/c4BFT3je22Me54ackZNfD/7B3ZsuNG1nXfZX/BeDAPNyC
4CSKpObpBiFVSUBinhPA0/8LstutKrvt8Hft6OiLDruaJYpE5tln77WzBn+3vvNEnPheAipN5EYV
JJnGyT0ZWTCqZrsCMhTjU7HfE8e8l7bykg7KO06wOnDCKQdtNY3oAPn3Op8w06jKqVOHPkAkWhxt
EmuZZ79NMWxcz7I1CDjo8kPfiaCfyoc4L691O1qDl0s5tEno1n03kPHa9tExEnu7Mm7q1j4yCb7P
hOOm4srWwMggD52wPG/IKT7mNTKKHn6LC+tuACnAhu5jgmOJQUm/hsw3+W4/q4Q42/tS6XR/6juQ
AlmcQarLRmxqPHkbe7rNo84KOkeaO7xsycrICISyXHT8uSTUAOGc/U2YeGulg+NhcnykMT5pqIFb
pK3kxtIyPRiBx/nJROpQE9YQWKViHAkGCvB2knCBS7B4Vhpi22MGVr5Ut/3Y7oGtiKAxOrHBRWTt
+s+nThEpTnTU2zl/TFpLAQyXIwCuMuzBo2Hj1ABNvC4s94OM8m6Mh3PcNSmBt7Zzjl0IMOulgQv2
Pc9KRwk8Dd+gMLVwY7WkyxyVeEI7s+SJ9KnYVKYsj/msi3tXug9NJ8YdRq+XVDBNW0MlzhKwWKBU
fbPRJ/fOK+TeyC3GnLDfZqDIdsxv90ofakGvSmM9htgiB2BbN9i7uZy2enFuCw92O++lwXQ6stO+
4xPgrJiKAXzW2XgFFI30di8ror7DW6ur9sFJ9WFlJ/E7rJFxNbOPwg+vnRQU2M5XeyY0xdJWjtf1
u6YPm53e2Nltbdcw30unuEv1qQsqTZD9M3mwu1hBO1thJ8eZFxEBHG0k5j5UyNEviP6unM6A48MV
KGz8KQvI3xI6CyHQWJtJhPZFN6mvcNhXdcwxNpkkepdKgDKqkiBim+Lro6nsFcWTL2kiJci5OgyE
2xVQNMr0W2pYhGF6WRNydS9SGY+7YaaSoOm82QyamaIDrgHNNbDD8DKODPfoDtOpZQDhCFQmvE+C
byYoDjhj7hh0etEeFRfDa4thzE+BJ67/PY8+zyP1L88jWITdny2ifzqKMJyAEFYNypLsr0eRziJ6
kd74DxAJnfPmt6MIEgTDpIf28evYaH9Z0Hi/LOxitjbsfJbujX+0oPls+Pj5KNLYdFPkwXCL9fun
kXKoxhYoZGyc29FUuWwOezmZdaAlBpACu96Uht4zzk2PDtCdoI3Mb43hXnbcdQJr4b4lIz6JrokP
HSkaH9EHYpLa+O5c9cHYDqexWR6AHvnasuzfJq94jsmCAyO8YRuxLabuQjf0m7pi5kzqqfe9Sm/R
ePTLIgeryHPtvk29cpV5LHRmGd7PZfJogZvk/j+PK3vMz1ZknDVprz1EPier9ylx5v08hACYUt0l
6j2yLZnXult9YKS56WVkXRTk0ygveHPF5Hvt/DBivfFTnYSFAdrRt828wKkZrtSRVbpTxQ9S619S
AhSrOI13eo/CX7VoYHls4FLm/r8SlXFK8/oiS03Dl03zUQ8xkp5ScoPP3LNA91/JqD4nPCQvRior
Nr1gCnXyMoUUR5OFp0YhX2F6KxiBAAXU5vzh0iNxGkzn2yx4c6swj691IG1+3DbvMWaVY1Jme8tT
uJTq1bSNi9Y9tzyJifNIfmtE5/wm6qJVCh4GcGPByibR7K0YWPrbzYA5dHSiazUytO1cJZFfRyJj
qMcRDJIVRFFuRGt1ypKdYYzZWhECWTBeYMu41w17JGTHtXuXhzzNtRHDaGa2nEvgkTYmIP91wz1i
25VGvi6M5JKdz2HuknNaaPtuiuZA5O5HOCe2T57dXCutMIKpn2j+CJ1pm/ZRtlaTGHiGqU04fGpv
2yUkbpKxwcip47TMowZ6MmjKG/bV7ravrHhNV1WyU1WQH8QRDb81DOU60zyKOGZ+0nq0ITAQYty4
kdLBRJGuP/FQXisAL7Gep+LCYoTbRnp8N+ntVd+rxToGleCXXfVWZkTPRWwDWa09k5oMrmiRtkDC
5+UtEnrxIlsruS+ge/pt7BW7qYeIro/UkCBOa2fLReWIK7aAgvcdfRjHrytRTWNpIso4vfie5sLh
TuKEXEFyZad2yaa3skX/ZeqD88cCDdAHPFggHmbS+0oi3aCp8mxlD4l9PWvjdTL2NyyJ0nULQEus
Mj07wQfudiAkP7pifuu0Id50FfbMzMuaowAHuDJGO8ia2t7bk4SWpDjD1g0L80ZX+gck7E4J1K4H
YRTro6aBrqq+Sf5WzqwgvcZJ5rduXG8VMd1p9LRAvIrslTp4FwVQsbWUk4Y3ucdX1mLYhSgN1Cta
i6JQLhQT1Jlh3A+L/Iqj7S5Hj3WS4krCcVAU59haLyxsD31pD0/INFxou0uOTsUvFonXXcTe/lP2
XQRgsUjBUape6rxaTNXDMJgfNehUwnDZUZWqxv3SeZgXYVkks4vvI//eOuCwoeXuS1RoGgYuobWB
al4EamgGIJiEhml5iK3gc9c4LJJ2w79eLCK30xrWBj4Elr06P/dKdJuhiKso49xWeAqq1RA4qOYC
9XxMbRshC0F9aMtoo/UarjqDrRqiO1ES9K1FiM+488BPe+xpyAwcxbzCle4imiPdu5bFv7nI+f0i
7Fco/H2i7qAsFlxbwk2yLAHEsg4AdUPUdPSCbmze22VlYA2ANGLdfkaEzq11yWah0LtvJZuGoree
WHtYe8EOImnmt3FZSvQld45lTREvC4tcm6F1OKeYTUa8rDR0dhupp5SYgDWgPPRkyBpMF2sQRchr
Op8uM71FWWJT0rnezmFzQqHPVjHrbQTwmN8phUca/9t6jV1Gmlb0H61w0ONltx7Kad8taLZ+we6Z
6TWQWoWzoKeTZzrEXXadQ3XjtnaXQXmL7WLnLNi3Hv5bJrpVr9ssVUI2ljmMuBAIt4B0o7KFaGHI
obq+hz3zBueYMm1J1LQuOh0W+MgubljINv/ejX4FPS7tE/9bbr/9ra71j4L78ue+TOpcOqBLWDhV
fp25fxfcjV8c1G72k5hRsN19uR5xcaJ3gpIOpvUlvI6C/5vizs3p09BCwg3J/ZO89Q8UdzwRP0/q
Jlk4HITLmpPu4Z99elqI0TRt7PJqbFRnUwykVMyKLRb2r13sND2mBSZaRhn1zA+hHoARI4LZQKL3
jPblk8BWdaQ4hM+eYdS3SW+bOwvI7kmmYfW9IksL5HgQl3HmTM7nabKqPEUafOOU8arlBD1jgzCf
FdXuNlqIlLDitKUKqggL8HuV992lVgt+OPkATVMudGwMQF3t/J5+BOs5G5zmVuoW9OM2Rsjsi5Ih
q8dwoVlM1EavdtC6Wv29tPrsyVKzYhdZrRdQC9W+DigrGHFdwekLntFJJNileKiuZVKss150m0hE
VTBIzWSiVEhsfCt5hpsHrQjnadx0ZdpvtbnrlXcz8pL4FJsLbhAibNGcncX57ETaGN/GiUc6Fksv
405nzI48uTxZbF+NzHg0N2UmXWjf2VCR0kPnzShzUwqMLaLPprdk0Ot8reMs8OpwfLblUrSmODjv
FIa2TcRxfTH1TOzcT+dXIpH0kRW6UA+RxM6A+Odtw2qI3rijixXJk/k1bOP5HVvEU6PUmyISF4pT
tkGu2exSrabawRaLCDBoPZeUyVUOkcYWMi3HKrA6j1jjmJcwgISMxKaFbINuPbDOAFnzaDoi2wOT
uTfSOt5VSj35sSrhM7pNt7OT1r5144oMj9J595Va26eRGFGQ6+WCvOys8i5sVTqzkBvfFEcqF0bW
OX7FFThxNSVougFSgKK04xqmCkahMRTVh6OU7Z48X3HDbLrIB7P9Es2aE8weQDPIBQSgEjPBIVMn
z9y8SvY5znTZpnP5PPejcuDDS47SKeQ5iZrwyZ1zeV9Av1xzQohbRYzVVTzArSrw5LNGMc2hRcw2
Nc40LyZWM1ota/FJOqQZLXunD/q7Zw++mRkXziiN68kmRI98a2vvVVnNm1rAkfOqFmeVxGvy75z6
q276l47pK5ysr+0fn8TGF8f04iT0eNKSDEYnIHXxw+qTLC8WPlV3OR6XoMN/B1WTfwRCF531N9Dh
f3afOLDx01mepVMD/Rnf+AdPYsP5w+6TkkLm58VISBzEMJd//kUzNalgKQhecYvOMNvtcEWxvnPr
9JgAETPn9hrf6WMI1lavu2wrgYMoIkZyi0PfKqOtF4IREOl433R0xhhlc23D16QW9dCH0crOx70x
tsD8d1aiPJcRHL5oE7vRWUu86FgKqPW2NXkooGQX0hZNzZ7m75npJUiEPFLM0H12IF6vXUPpmH66
57nMd+DdosCwhishO2NdFwp0X0M9zMOIAmQYx+V487nkPBQK2Ia8Ud9F1X7IWeepXrG36eGzNfp4
m7sj163RfJaT8tjMpu1DG2DFZzPezt6psKfpwD2Jrzi5kbHAzDeGSeBYTDtj2H5YYU/4dm6/AbYn
5l/qy00NV1oIxpX+Bx67pfFNTZ+s6SqG/8+mbAWWrOGR5C1XNXwt0kAVIAOtjrlfxAZR6cqY5L5p
yTi+asIkrCpGbJtxMZBKGYt0p4qpZoGskCg0x2qthkBwOdRHphI326gTiDlDHxr6D8XiGIxkdx1P
NRPznDXXA0wt5rmBZKmT8VZhaSRoyZI0rplS84KwZl7bT+XMalqS7F2bjckluYR/2vWxRcawpI7C
C62t7cjpmmiR6SfclYMEYTWGh3xB61ruh6kpjqGlJoH0+pa2ycHZjk00+QUHVRvULFRhvBqQW9P+
Q/dKd1vHNapzyjJOs5W3gfUTZZUeDORl2NRqFuS0POEShezKEUaxXU2zSVHxUW3oISAb2a5KK8mu
CN2maw2ggp8qk1h7WmFueSJSCTG01pZh6j0n3rmlMYOgJwUdV85cRhe8c6BwQlm8unTewbEQ6i5U
Td4bVUF7QSyARtkBRNccB199oxRvFf0+7OGI5rRWy9rKVZqDRF/m+Osb8pAxy0LVpQegs7M1vzzT
D1vrQwAe8M0p/tDws25bdVIQyufc2CZeFZMQd803ldJILO2sAeQyskZ5g2TBzWgdRjDz+FsWrAwL
Mg185yigSXR1JwnGdus4cRHYR8MdN95AhP8jg7u2czVNv6YDoA5AnrWHLpxJxhqVWDXqeMe+EcK0
mlkQO7yUC0H9MCmALdUZcXehrK1bRF9raJ+VqH7MyJL6GG4IEeUzNRM53stEhXrpTMmDVpQwt1vx
Mnkz7N84ii+n3sX3D6oTosg1RbWub9n0lRCPrvewKd/jbHjpVXpUIpdiM0/5kEnXwoQUz3huLzKT
KhxbOluDeq8VHO7lIeIdeSv2fep9lHxPlZ7PRZe7d9x1r2otvqhIJjLAlidHNb/ptvdIeHNkCTJe
dXPj7t2m2ZVze4vofk84KVyrlIyx61jGRNQGEYppS3IVLboYTZa1xUFG7apx45tIbch+RWHl93R3
HDjsX0eKNIhd6jvWvxepE55dQx4VLG/BxKaLbwoOVKyu2lKHU/hm4Yk3rAPFi512yS4yBrYRZs8q
alE8kDkt37TLhfOav3mtxTNLBQ1qG/UVa/ZbgqhymywqSlSgp4yLspIuGouzqC0Tu5BNtSgwYSmj
63xRZVq+Ltf98uWZF82mWV60W3ScJBTeVm0rcZMtKg9DGqVHi/LTLhqQYrEPqxZdaF4UouRTK1pU
o3HRj8JFSRKLpuQt6pLdWB/E2ucgNef9hAClIkTlCFJWj1JmSFXfGotaZSy6FWV5YhM7FlrWomqZ
i76lL0pXUsFPX7SvcFHB9EUPc1mG7+JFIyPCjcSz6GZ2TBPDtGhpah1q4AT5Sa1FaYsXza1f1Dcl
4eIJGkcit6HNAf0EibPodf9edT6vOkui83+PnUekrPfmffrjZWf5c7+PnSrGLAPZfYGjMdqxoP19
7NR+WQY+OIE2EsunYP6fBbH9CxVKNKpihv1Mo/7npvPZtOphAuOK8ms/6z+46XBx+nnmJErKzoxc
Mrechbv4400nrzKznBDtT7kxD5tKDc2gVJ1nB6t36fSPemffp/N1SE0oZKu1Tm1o30X34dIjOpGa
ZVGWBjUVo/ZlQt2oIdP7fOkf1ZYmUjpp3uyOVrRJUoNCWakaFXJV9eXG0ppwFSMirnRVe1GWjlNt
aTs1gDGtk6UBdY6TnRQ4XMOouSgojfMTI37MrRIWv/c8K52fVW6zkqJ+nZKUbKvx2tjaE/CjxSQ0
HruBrq8Ja2RQ1QtEiA2wlZfD46S6LyRoxaGotHCtScsO1Cq5hw/6ok7OvKcLeR9yrG5sF+R/rb8M
bX5CBl1NtnPrNduU86T2Spz0ibzvY/HsCgVrUvnYNkp0geEj8FpzlRfDSUtUTo/pNE7iRGPbqp7Y
JNOS9L2sOpDQBcOpLU8e1iOsUPreLDcJ8Fo2kCtdv43qY+Nsqi59rnU4KfwVt22LUI+eGnAK4OXC
d0XNtO7eh2bolyjJJD28YhVKDs5QubTzUkK7ABwXin4ty+SGKefShuW/McmkLn7UXV1m3xslluzs
Wgz95LsaIG+cbf3VhI4GT4e5mCovtH4qEYQwL7KC18vg6FoR3QhO86bOkwha1b6M4SGXbQJAI/RY
azuXkG7PoE1P8PsDO+FOVILcldHSWu5wW+RGxF0NIVgF01BwG4MTV7JjkYMGEdrEj+S07UoIkDHC
gYg9CY6DLp+vvM55tSplHyloAn2rA5phPNf16Vo6drtyUKHt2vg26XB3zDq5KbQ8YcvRbJXKuLdK
HoSAj9cqvZ2XNUSIzC2PVQLlOB8f4rZ9q2pXBpqc6Nqy7RIPU08eotHyIE26PYQr0Gh1+tgLEhAz
48NKxPl12JoGfL5xl2tduWkio8CkwK0dX66BSkkTo/vB7+NQVtXZpA07tVUs2plKH1ruVwO4tykz
bmH2vGSUx3eaPJazjuzTFRdh212q4K/1HPJKplZ7d3Dfkjbae3G0ReTKfNtt72S7JKYVTE32Xi3K
i74x30vg/6kanRW1eCna7N5Oa97UWV6aBpedvjz2Q7rkEMfrLB+2jO+XZm8HxSx3lVfutcbc4Bje
1REuT5YsfjMZhyoDldOqV/QL4iifaTYjbSmdePBbc97Q9Xiu+sUKMTsXjaffkEU+pGLYmSmrtimD
aoJ+ArujOUaVc+ai+q0V6FBupN+2ZfsYcVKGY3JkkQQ1Zrop1Iz1MV/6NKMmUorHKHW2VsQKyBbu
frJoIhmgbginOxrcJEDxGOR0or1p69e5MoSYH+tV3Df7wVOf1FEusiz0Qk/vb7DEX0I+wUvicLUt
5vyJ0BC6Ljo3q3l9nCGmuQXeDvuFFpGtVEjreHKTieG5aPpda6kfcxsRESepM7fhk8Cuu0jqtAPe
6AICS+bKTN+4JUCcaTQMVg/5vMYFcADHQwM81RNdDyuH7DqY+rM5ZJQ3TGzNyugoQzPHTlC8DYLb
odJkJ6jg27r0Ttj6EgrSxk1eq9paWNqD0PrLUTMfjVQ5aWFyOy+/QsO13ipt5NsYrQ18AlAfH0d1
OIPdPanpSKnLwoSe5KuuEPwVVST4npCR7fhdNJq1KfpIbGs3f6kYGidWoTAql86IZAtmS4Iv0R4c
W72ouSTFMek3LlVUAmor3byDTb4WYn5LMud2JmxzWRB637NrvKmobFEWykYIncqcrRetsreOHkIc
ktYu6WxzTW2ZvmPu5LscvafcnXCnl+phQiDSNEffaBoGXVUYW6eGncSHolrpo9v4dqTu2rx/aqW4
rYuZK3Z0FzbtrlBI9o74RgopGM3Ku2jKHrs6Hqhou2L9FiTqsNITe+KxMm4ts8RlEQE/nNvAtYed
ks3bbnYZO9l0ZdquiTzeGu2s1DStxcN0jaX3lmpWOEEsGwMXP78/aPK6Muxjm3Her4k46ShXshYP
Vi5oOQlt56AXofBzNxs2cQ39p2YwEO7At3O+rCEncYHkR8JBSlfdtHWiwrsCb+T6eTcUa4gzta+T
DSbLPIx4lfK3gcUlBsAEg85ME4lLf0mlLxEpQsSfPZqKCEYqLv1y8IaLhBiKXyvTR4Hf2eJbDOOv
wJuTNBoyMhAXK8sehzLSgVDaOLBitwCl2TqKnyc2AZY8uiRhWZ2LWuueEs0BlQATVSHHKK3rVhbz
RcYunpV0ZrqCxB7CXCVnBGRNuZRGc4Fl50p3gU6NwAn1+SGvw5uoRuitqaJ0aJDRM5dAsFY/hZLe
RyeS6wZagz+k47Y3w3RtdN3bkPQrjZoUMzSOg5w4ZESQ98OmC7k0G+1dpZIid534lSfrg2o0u1DG
Z9WCKZUYh3zmbfJiseaDBNpdoT9+tg5ki49sj4yVDXMrydINdZEXQ88R3TCwBXYTnhPVCuhlu6H2
hCkln/eA3y+tUey0ZmYNWO1zT6L9qCnDACFqqOBgXfPbDoo8G6YpgBR6V2SyoNEoPahC7lVVOZL9
X3EV2upjvcfSuVXSeB859SGCHwWa95AVNBIYnLSGC2Cq+hYm8xp/3fUYclOYrGo9h/G6oUzHqrt3
sHOXAJZWLR+6EdR872XfbANSEm3cuMXFTaMna1sXK89MJt/I7R04ods2VWq/KxQFahRzmUM0vJHY
+KPAC9nr9V676RJtl/f60+CaoNzpybYUAOakPbla1EshTM3TPX0C6ESY06JTlLSql2KDYlLaK1Xy
4Hnh1nDnKwzcsZ922t3E3tZIqscSxnAA2JEozyC+h02JlzmRPdFI4yQt9RRGxsuoQmATSQWY0kES
EHtPqN4mikISR/N7NVkn1suL3Taj1FTnwxKV0qL1yJHcpSptHU62ey41SnvMfl1mrg3aV73OTOUy
68Z5pUTGpm2Vxg8tLBQNmvcunuxnSybTrceThtzTeDmOLkZxWT6O1nxdKfazrifhphL1k4r/2lft
fpOilK+Klp/aDYGALI+eGql5KDHBRYA1VwRpj5gqNmmkQI7Xm0OlRQgQNk1ddZN/kGJtuSLWRWDy
v6Z0CrShvo1QvHGy5Xvp6Ih/XX85M7aSyTKfRo0vWkIkM2hGj0K+yaQWW5xSGhZNWMaUjcztZRWi
lIjReGSTQfVyE157bfZMSsjcLV93GyOo7yFAbdJmMJ7duLstKvNak6O49IyCjstqH1XqnR5xoykt
lUVDv43Aw6p5ellHmAQds/EjK/8groxv0NDX+MPuUiqSRJcc0sHmngkKr9W7p0mrb7wRTElROadE
i065k2wyx5wOxZg81Jn3bI7GDTmU8mAZ7Hz6yC43emc+Q/Tfe62mrBJVFNti4P9YAbJbagJhkD3Q
LskyFKei4nSMzFw1bqlV1xkjmkYx1242mTopAcNW1romsICsvkx8fwJ3YrD74mlyF4oQgFodd5TG
3pAww48DFNsdddT1QpyTqvKL4tii2Xrm7V+/yGKM+sK3/O1FbI3tpWGArFimuC96dBqOjUEXgTir
014pjioSmWLedfLur1/mR6vwbz+LQ3LeJAzpoAf/+DIhmilTgMrFXf+Q5b1i/F3x9h9/DAJPmkqS
k2HT+vm9ar3JLks7z86F5ING093rP/77O4SpeId4o3BP/yTbRw67QMPCHOEyd1hXlvcrIZYGqui9
/JPfNWuJP/4avrw/P/2uTaB/Md5YAcBiq+SrVNs0TmDCun7PkuCvf5Q/eSk2HbbKNsMCqur99KvI
XMDGBIPSMxajnn4dHFkLOZzlwUqpflVv/ueP9SNb6vPX/sOvZfmIf/l0YfKl8hqa57kyVl7LjW7F
V4tn6jRs/vkP9fX3/9MPVTiJV/bury9kiACL2BhvOEeWo7j6m8/an3wv6ZDQiJhyOuKGxNX49Ycy
rEIvOXhx+NJNnL0O49oKv/31j/MnX5evL/Hzx21uAZ9GhPPPhfuahM+m8n/4OGM4QP/2NJ1g9E/f
euzHVmeSDT0nPAENh7jK/+HhRSuYai8ADvhAC+zj65tUKAX3e1sjLeW8SufUg8lRu795dv3ZJ5kP
MfQDIMBQkFjofX0Nj568ggJ6+PBc/KaVSwWWdY3pp6yC2fibT/KfvBYJblZ3GhtEDf3px9ci+orI
lljFOV5m6rUo6bNaO7Vfcse6+fzl/8uJWQIs/1vyDN6z/3cqmz91IvMHf9c8oUJjiFHZ8/9K1Pui
eZqYivkNoWv+Brf6fcG7WG3YS6jInuanVPpfq41G1p8wKgw82wAbzSf1H8iePz4byMEAwsLyjMkG
kh7enZ8+kl3YJ202F/pVgfFMTcWlEzEFDdP6yzvzJ8cFRTh83r6c20ujjbfEcZF/DTxEPxdVKDR0
4sNM5ZVl0TfZRaprrq25v8gFOI1Sj1K63ElBIBudvam/rNPq3tEb2r7JIK6AuXQANLT0MDQWMFec
GStj6rgsW3TShbJ5km1VrXI3hiO3GIjjNruteMGVXmVXHFMwOx1EVbfWmU9pwebSni/mVPdQQ7qk
Qw8jhdbOS/xlZ1BMtgntYUOcqQt60FhBi7+kcsxHxXWYVHrs/prxxNBYrqiIuAVRf6Pk40lRuIEL
lVuwXLgErrenH/skwzxa57hPKKXMMNcMQ6AvlZf90F1byryRZv/ouc078JOXKJ+em6WoIe0d+lQn
cWU14YFRTGxApO1sL2y2bbxkSJrmvrSjnXDNaJXF8QGR/A1tOIWvq1aBPYDSyhZvjAJ/2EfYZnrt
5hctz8G1msnZdMECT2z2kAKD2k5feke7b9roWI5575fadOPU/dbydOg5keJ3SL/8RQ3G7a7AjK1b
t8pUZau8q13SHS9eR0eCMQY9i1q/7c3U56ONdmAQH2lRS5z+w53Aham2dVSG3kKaw+lNR+FKc6aT
LsG8TvTwylijqkzLrug7TzaGgaUqN48MOBFqr7n1Bt7bePEPKTbBnar2XgpWPHjib9g9ToExtw/I
LzPwCA+zbpfdtrLfaxbkhMZQv6kZynckp4dMCGs7GvNZH9kEt3EyUNPdfCcb9F1HrFoQQjsg3nvW
19oqlXKLJf46B/w9OqV96RhzAfC7+DYn1VPstHBq7fKO1tkkMGsn3ckeXcaRK90IF5wuLdx8xDje
TQkNHNL3a4G21WxmV0Eds+wRooM6Ig76k97Q+25KBh/VkRvNlYu9tRkvsswiUTlpKzWkmcA0vkvV
2yN6bYaZogp/SqvhIbWMxYQLDBzQrVjKZEcCS6jie4MJR8PP3i01HG79SnfyjZYq71j5UoJV7XXJ
pxHb9XA3Rm3HplUGpUy1PeQIDORyuHQbqoiX+i9LpDhe20EsqEr5bCdOux6jigyYGnJrGbnFLrX3
zFoJ3Leu3UnZPc0hW9jRS1ZDol4lTXlMbb6yRpFeESU/ZIqynzPW32yE4/U8TiQbmH9tOeV+IhMW
oL12E3f2diy795RW5dUIoqiwqyfZrIm572OYVGmn7NhJsHNVX2ZrAj+UUUI/ZS+ZeTvIFjt4f1GV
kZ8x2ybsL/QNlRixZ7JimI21NMzdQB9go8VY7+dq2BpO0m1UjUBCNJgvBRQMtAsZhEoDqFxW214r
zlMpn5sSEr2YzIeuU91jpSRmfVcSJYxcswl3pb40+f3NY/RHNw5fmuVAN+GDYYkkcrYQxL7eINq2
NUzG+OlKkjbyzW14Md6WRyjIvvJaPLL23WP+9cMDzb99kGyN/V+//nIr/fEhzst7DucO6RCLPd2P
L0+YzBoUu5+vBue1CvceNkZvfFHK/G8uL3/2Oqy7iOlwIzPVn6cjr+PMApA0X2lYNMfWz7J3L9pj
Vfyb1/nx9Pv17VxsUqR+VErWlujp17ezpgPG6rVYvbKtQ2Nz6YdWZT7+9Xv26ZD6+U37+sP89CJ9
rKqtDm7wati0D2yq1sNO/e4GC5zgmPMZ82+aNZGWjb67P7lB5p+Go9g8tOtwfZ1cSH/XBM1lF/Av
BuWG/64f/vrvp/8083x+pkxAuo5hMS5aP6dis36eQXqr2hW5n1N4ra7Vo/aI64VqmRXUav/iWduO
q1O9kTvLWuUHSsWvCURsQESuPv8q/14kVT54//siiaela17/36psO8YiYtbsRf4bsF7+7O93SY2G
ERPhg3FOI7nGbe33/bn+C+Rl7oP/ja79Z3/u/sLsx9hnwT5VkRr4AP5nhe7g9XYtznHb+oSo/KPq
Y31J6X15PsCNwq4LKmUZ1xcpaDGIf/0+ebkzexzJwxlvtQ74uKlL9SJjL3NRECBj/YdBekoiFkSj
culCrgsSKx+gICFFwkbyaa3lFOoOqTveDup4OYUwRarY9vxeurM/i/nCE92DzKeTkxt7S9g0AUFy
rxci6Dhe2FVvQ4yv92KmyijnzJIhQITQ8Ub4VcaH4UbdSn4SgkU6UXeATNcssu/smhvAQS6F88Qu
aIx/nmxSym1mTmuvm/JAbao70wYYYfYK/Z7o2kY1U7whO8h4VIY0RfiIxZj9sQ0ApUU6EPLN7lMc
WXUeMCB8A3IgVoMtnuyaJ5rt2DgfXQiMuLiUUn+yI3PrOhVGF3D8MVXsxHBzPDCDhWru7toRqvVk
MiySInubyvAt78azWnLfolDsGSFYrHIz3dK3uCfuxHVvlDw4BqIiblR9j1STII1WPFX44OiGImUD
HfDdXgLrFLS8isr6/+ydx3LkxpqFX2VeAIoEkEgA2/KGVSyyaHuDINkkvPd4+vlATd8rXTMR2msn
x1Z3FZD5m3O+4x1x4NjLyjIg/s3+9tnobuC2W8ncY7nImAxFGwKgvo+PulV2JA91RCq3tEib+dqb
0FnPo+l8k4wmUaez3dUBgLjwXSyw7WyGRXIwrOLZIOvMVllvNs02CvtsVcfBWgtzAr1E6K0zUYdH
wreSLXqy5mpY3fQE7yZAkJF46EATcYIGAp+3j+PXvIJMgT1IvVClpvcQ9stLwHR/7yDtuildNBjd
mOQEXpcYBzQpoxu0fIW31vKB3efEyHRKhfc+oF9wVr2llfvMEHe4i/V1EPTFI6pJaH6eQ0aMhiz1
SzqEdqUzBRsQVruOAWOPqUHhO7OyMQzz3FThUQej3RAsP4DVLsFr12C2RQ1vWyvbczUTuL2ZxW0L
9lftzOe2LdbHiDbPcmZ3l6lgWz7TvFmNeh7qq3gmfWcz81vN9O9JxjqZuBDB4Rair/jGhBvhleXR
zA2HIJ7PLHEMfd2TmzrOXuUJpPGZOa450MeZ9H8NM488xRw9OBDK/z7Mv4VQFqfefz/MH9rkrfr8
92N8/qlfx7gOLN/hTDYporhxZ2H3r2N8BmjbpnBcLG+UeX9w35gzIlaCr+AIp20HzffPY3xWQrkc
/jiKpQnO7y9RsomK+pdjnP/xHE3J7wGPD5lUc9n0hymo75WAStO8PU9E+y3I4vjBkpx9VdxgkuyS
1Vglz5ZOLh/n0CmskIlYeo8UMusuaZ3vbRfbWI1lBPthScBkCBY6OiEp6mn0w6sQ8U86uXip5Z0N
9acnVbk3EHpA1vaE8sHJslcdxHOPZ8Ko5Ytbog12KNiZXs6nM00zSyuNtypAjctJic6Rc5H1muVk
P4oxf+wCXpW8qYulp9RTVTbQBrPnxtWevQwnm7JxDYWnLg5umjz8UedOughd+1KZ1gdxyhBE+YPR
QIRqaxhoSPT8lVdsXMuIDWTe0GGUSb/jaHocjaJa+02/kXJCLhGZ/VL2mHljzfnJft1aOYm6qRsi
2jNkYo5vra3Yuc9D92dZu5fQmgXpJW2p8BlweD0WnKJ7EXH24TX5q1catyS0fEipSM+KK7K8cdzu
aju94EDazTJ7VB4/EgMaR5E4xapXhCX1Rf7R6+4JhXOzSkf038U3IVam7obYrmqJfeuG3e2hlN5N
5rOSDotqQz+zEVV/8F135xvW/Th1yJGjTzutHszQ33rm9JL6Exfh7BPiS3JnzWvfo/sxRMQufigV
0v76FLjDV8Jwm3ZJbHNS7pZtRZuUCuNZ+ta9bNATwRh/kL7xhWOwI05o/nGrbTfSbF9SvLl1HhQL
BH+btmmxT7ZNtFUqec1lBLC2aM9GMO/fYkyKLN+thZDaQk3xRtiY2ZlzbcuGTo5FNKEwBd8abmi6
cdRtrZx9n5OzITmz3np1cQy9tCS5N2ZzGHnjnKd1bydEj2TWpi0lqqnJgw0eo9UVzYD5aKrJbWx5
4ix8QEBeeYjHmu8wNQof1cZ0pbPn/5o5hJN1G0+018kxD2EfmwvbQOdbk9258uG7oViIP0haenGy
kJh2VbwLHSVdllMz9TOYWIQ7riuNVLRgJzItWmk2zbcQ+VZh+NZF2C5Rn7s7+DFssDvnk1zVG2fI
uwUDl2JduQ2cLJbtRotawk+Hx7y0DuRtEzDYIExSZvNet26xFJUOMX0qpks6KOMoszhbQY+n20oM
lISrOO6f0SlU3brS6iB84mPwmlujmQUJKrTMjfJSkT1gBEUPJptiggZVJQxFdCe1L5oXhOoylmFw
McvBf8XBvObyZiEtA+mdCwo0BC/tLOVZCIJeAtv1r0EpNIA21nAHcA4/SBnCK7E7E1k/QnyuKlWX
+9YWHsr3cGiQOwkzSVeQ2Zfw4O9Yqw1wQyPTeIl7NninJCtazpkk0FeDsj+E3yJki9VY4dfovdyd
SNiWFkGeoWH7D6Kxk/rVYO3vETc2GQFMlFR5P2IrDORJGFUKBM8d2uLv3ud3u6rF7fb/XJdVyBP+
H2TD84/9ui+NubdRgv2PIOT4zx4p8zdFkqFpzdBb7qlfBimG5NSNIBtZ5tAuOSysfvU8LkJjblGH
RsUCqEs79Bfm5/b3hPyf7f03K1eHySsg74LfZa/z58sSodugyrJOL5leSHmqjRZZEzxAkVoLzDqG
uxiGDq5qYhcfWBJ/TPkUbOGeXyVvB3kn7yPavXXR+rsKTURJBgd2ESvhtLLPoiELQota6HcFcjAe
VnhF/hhwDCpqucJn5uzFy64LoCp4+W09Nj81Fc+o6/6nLLQcEFq9bNE1LHInPA5yShZshU4asO1K
5NYq5xE/M1/rINzy7+yx+gk6AzhgW82quw1n47gVhvOuDfom6Budzs3f2XZz5j5jTB3PNq+yf+0d
7TFpxmQZxfrVtJoXHwobKDbN2dLNqlsfhN+ajVizaK24Wuuj/2bjrdmyN+wWsHbvePlucwkrOJiM
K7MaBolteDcY4pAK61M26Ras71stw6M0uH8rVDqDYxw55/iv3V0qqpfWDPf5MCs3Y/8lr9WLG72b
PQoNaX7UrvtRGfVtNYXPVj58xNJJV8R4TivMxxdQXjiFrH6XBiEemkZD48HgfDPG4RVTw7kttPNk
lt6su2CbZuCbsEonhXCJd9bSKfh7IS+a1SfHcvZMkYGN7XLQj1Gg/G2ktWpT+skJE5NYO/XwqGoc
w31ZoRtuDk5O1o1w09tilO5yjEuEdkVmbMem3zpIt1fVnIVWjInDHD2o0Oql3Vp1HlvcFh6jnvBv
7dFAldc/eY6NNLO9KNHSG6IwB3VUbititBFmzDdZvDcsVi1D0/uMMidEdqIiaNeq8LtpSJMs01v2
eXcUtjgHfBUzjPM9goZFH3ohZXPvR+TbKSPayih/TAm4dWeubjypx4ZrXKT+U82klngYjfBE4O8W
zutFV7oBzMTpJYuQV/qgAD27eNZazF5J3T9qLrAvfjRZT4lWrs0uvo6aMSLZBLyh6/lXWiMxCPPi
JEf3NpbUS804GAsnh0IxdP164OK7tXtCVLSockAmhmihY3fXNzTsMayot8ajycHX4kElA7duxtFz
G6/sJHw0Gz3hCQztNe8aCdAdt1EDbx8eekZBgPF40MnKNmf9ZdGfJFrKVRrhdAH7fEeidbAes3Ja
2UZ6DjMDviH+5yVsjWo5+BPRnvlbPOAm5lm7StSv41csqHM1H8AY43NzHJBkB/bakfkTy8AvhqJM
PGz5VU3i1a3dG9En52Icr4bS7QUK02CtxoChf1reB239lkjk4+G4d/LpwGKKADh9oONG97NwUN9X
zvhl1NUPIA7HPm/ukkI74QcA3pk1qwnOo+l2w1KnGl9Ajzew9ACqat2AgUbTfJFLAxljIAM+Gey3
kKAVOhSQqTn8ESMfyllTqg4N5h/Kfc1BEidfOHVJLBhBj3aJ+miwsC6I4QlXHMhHWk6gQDWlXjB1
h8YzUZ1W/r0KhjcSEoHlyVhumrJO1oXf6MtaljtFqlNJbOuyCYZrY2EDHGYX/IBUH2Sbsc4yq+Kl
y3klHHVKKlJl88E75wkSStl6w9IGDoLj8jYv3KvryZ05jHhKM8iR7Zjce0Vx9n293PiNk7wQiQXl
j5WHBkMQ/Nz8YlvRM/PwZoHCOt5wrMollJr3IcMoTz25gaF24EC/H2Xe7agUiNsx2jsMecZi3sJ0
BB5tyXKZ4SMmhFg2RZ4DdtVTchmXyU0ddHdMVjLiHGh+0GwCoav0NWU5P9t1V0tFzm7K2neIpTOk
qcJnmwFgVVFJjTRpX+gmuS+CKmRSot1BaHtXJu92mZBfIVNHWyYDJG3EQNlZ4CUD7F2+UJp5SzgF
MIfGgQmagYsqcATTBM5sIsvEJgpFs6Gie29dwgcLHiTipjdj47Os4itfcN1hOGFRymZE+BvQEHym
SJ/37Ox2LtKzxQhMkJfGIiNDdo/BGN/13ImEFTgsWSz4uKgk2FxqUJVaZw4gifhnaIHDm0Kbejxj
NIwa43ivZ5Xmi75faLF6tJpxC7Pwp5XPpNPic9D55WoZvSjFMriHHLBQbXbDqLMkdGE6cf8PCxs8
OauUfZMU1VKOxjyxARFRJlGyr6fy0TR48XGRPWujvGU2+7Mvkw2Sz0cue3EMyd9ecP8DcvVv7bB8
IFR+hwKtX6D2HxZJS3zbCJXCs6jxAecjLwZWQWgwa17b/giHXFulVe4vy9llP+bOvU7TsbbQHCO3
HzLizlmAd0nr7UU1vimNh6EJOmNDhPDDkGEodTztEPr+WxXZK59o2MUQFdu8zPl5u7jkMTaRHIrV
WtOtD/wbDDKb8FUK5opRqS6iVU+5VNAWkmE3+eZXJHqbMxYOkWFUwdoZMjwFNqMhkInxQmCBgrmq
N8ARR5duSX9V4MTYFYbrqeCLrTRO7WDEYB3ZIwRpLXoTpDvFIQaEJvSiZdnRV81kAoJntiM6/GVr
omBuRbyLfHb5oWNy3zWkUpaGly0h8SZrOG4/A18D9OiwGu10xod5yqI8F+Myj6f5VFXPBMfqC5bB
7CBK7SGo+sfKdfNFFrrLvE/gEeksMFqnYf2bIyeVwZXRYgmPt9m3Pg7gVLiPMmsvfkKyhlk3hOAU
sG1KxftkEmU9+ARsGXG216iceCEjsewNbDDEywwG9zmfFldItCsVFGliZz/7okOBpr6UIJoaVS+D
OExGsRt/2XUarIzE+OjG6uhykyMntj5qfM6l01arzNcPXoaq1J1Amw0qfvbTFM3rUBlLhwk2JGQa
yHcUrTcUBnhNJWNcvY0OhVXpuMai6GyEOWGkFf/OiV99ZBCLtI8e9MqBkNZq93ZKoK6BW0a6/fNA
zYVDcioWTZFn67KBhTRahCGncckfB7YpGJBKrklEPjplfnGccY6fJq6M9+4LwSdhaGSSrP3Y3Iiu
fSk6Xt2g0u8Sn20qz8LJVGED6DKCXxQXVxXyHaEAMSkvB87pKjsNsso2lZIH3Wk+CAkmoDtsnssB
8H7aiscpCQ/DmDwYUktXfc2Raov3rpt4+PuMjhLi54rp5U1RV5tMDIQUjDWrxwIWeqOiT5faOOgU
cOwh+5zS6sAWAjZzNe2Ro76EEfkNQDeKDvNUTZVnxxx9QcmTGbg4iHMCx1dla2/FUH2pgJLOzodX
M6XmA9u2DMkYR42x9zDKBnH25jnxe9S0t1KWiFcafUV3jUo846Y0y91Y2gTd6OvBmhPjyvw61O6u
kKjWLI1OMsJqbOLg0sfFaAbEL6PMqrqbaiC3ICQnzkIYfqgjfVyWvm3Ed0k2qZcxD5VzLjUCbO/Q
wcG2Gh21bLF+/T2y/b0HNVC//fce9JT/zD/+fWI7/9CvDpSxrDuHq8DAYO3OyPafE1tDJ97UNkx0
o6ZiL07/988m1EXz5KL3cxBEz0Gq/9eDSv03bKYgKE0SDJxvtMdf6EG/12p/bkHnpC+sq7rBr/W7
9uoP89oyL2XjBFFwKWHTOrsy7rWQC/ZWh6SAO8/XPG0iMinvFS8oayt3VYdQM8g5orzfOAKz3rVX
uu9+9U69g19gem9FnEakxfdZoh35Q9feQYdCpq8pOjT/QhAxIXQwAgPOQL01BtT+k8VrvExqF2cn
V6E9E9dGLuYljjJyomcDiQ1HoQqB8OC75j1LImvOIrcrC3ddhUYkS7lsVdkn1a3/DS1q6aDttc99
DbIBw4L4xhpZ0Na239/436vnWTvx3x/9dfI/q7wioOPfH//5B//w+M/Pl7BNiWjrz3tnHmXUAzzf
cweCxvEfj7/p/kbHIv8RVzTvMn7NYJzfkB3w0FpELhALjNDyrzz/86Dnz3tnh1+HfQWtPDIOft0/
z2BK3xssTe8I6KCN6mdCfwdpQUN1ubCjurpo08zxR6f1YkGcWLoWRp3G1nBcgqpgE9Zlh8nHmkmp
UaGyks/E7djMhB12xOiRN5MEHJqGE29VBeC0kW2+Lj23W5agF24iIgjaOYuAhW7ADtp+dIkpQNCU
kYpO9ARUrANaFAY8pr2H3Pzs9dxVXVRcqzygBScnfacL/wMHx8MApwYq5jkXNHntnJogqkjfjJYO
y4pIhQQHH7yWaZkTthCNyasHM7xRRX0MiGMQmOA2fqmCZdtD6Aeg8K7Yb++aOcehGqxx4+bDp8rV
J/ukaAUss13VZXdyB/MFkTj5bC1sbJOICKML7oI5M4Lf5oebpbexBVfR7OylFuBceBqiEf6C0Lex
TlimRTIm7MONn8MI9AIIzlb6qRKuwTlFM0+KrSRX0676e1YU/o5lNT4+qoh13E/TKgo1tW61ATgZ
DvDQN55CMju7ObyTDFdG+XOVj+ESYikZn0kH2lo1P1KGvYtyjgFt2f5PczCoI8YnJwHNeRlqNq4F
riZuZdRY7k2gFV/TzKjBvx+t6wgyTz7Aj2QiNmzTMMQMGKItL8oxuDNj4xHKIYiWOT7QcILFROnz
OgmoX+nCdduHViX+uWkySOEirVxYpfGusPJ1H4l7PQdAY2YOYS4h7UAswqewpz7zgtZZQCmKVqaP
1bZQxQB7HCSApuUXP/JgSxPRZyjxYGt0731ECkqLJjdRNPYZHzEqBC8angsr/Gmb6Q1UbJBqoFto
NhooK1r7JtN6XEbSfMVt+QNlJ8mxvr0dXUkKHhABQ/jXcoaqDe200Qy82fMyBNvjaqC1yJL4Rnn2
SW+5PBwmDumUfYnZ1dm1tHzKGvEEx7616LToAwzPi2XA4AyG+yRobsZOe2Dq9aNBqYU+lcah1Y7U
s2dheo9DFh3HPuXb8ownP6UzDyrvwRvsYxPxCRWGLzdmQZ8XY1bJDPnq2f0j42Bs3uxKcHCi5rRD
8V5L976vorPPvsrwXDJs7O4WCt69OfJnSb3wrqr1PXOAJevTg096TKv6Y6FZ7/7YPM1KWVBocH2t
WwYKO7PCcS6w7cX1+GIBo9mCbUgXcQiskmOOa7PUaLlHgg69oUO6EVYvVZ0emJicYtPYB2J6ajMw
KB2Uh2Vp9vuChL8lDywGFS25Z3D4TpakS7mZVItJOVujicw1pExnzXavXiOQIZjQha0gsf1FUCH2
NHTLoSZfxABTMp+4nFJ6ToBkd8lb0bErbMSmxXHrC5JVdFHuBB8BZ9KdOapT1Lof4Pt5tmz1SCro
ycT1vzRbOLAd8YSrfD7iqmAik1dcDTfDc0amgFHUKYsp2Ey6lezSji1K0rSQhRrFmGF4bif/qgv5
bqewPn3DOZGI7m19X9M2SMfvYTtWEFVifTka9ruB5XOtZwlkH1WsR1MjejI0oEA54yYO26+qmbxr
VGI9Cyv9IQu7jBRkO/woAu2s8q5bk+RNbHD43EPLrzAM4vj9mgYChZqM8JiAFFNozzD2QwZO7gLJ
dvqcflP4J4MlMYPsecxsHS2nenDnwJBqjg6ZpvxHPoXumrmMuWjIF/E6BkB2VwPl0Mrl1FYXGSbn
gEwSk2ySgYwSfQ4rMbPqkEzGOqYaWbeNdUc2yal1NfQ7c9RJROaJgylSaOhgqjkOxeo9VpNT+2CS
lBJ6iJ9ITonmCJUYxBq/m+nFndNVyvEptXBI99GF54EPYWgfU/JYJgu9DNGMZOaJDE8hoS0DI+6M
FBdd1QdBqosUw2PGVsGT1kURSFG4TAwc/mKYA2HsRDEctAiJcRWz6hBWzjITRrPgjF31YbHLyJap
5pAZm7QZP1JYKOcAGtb54HC+Q2mKaD9NxNRocb/PvoNr5ggbkOHGHtBvuHLngJt8jrqJBftEotpp
ywcU6nMgzt9V2e8akv+3IXloaWbT/5S1PjcefyjKwOJQ7ygcUXMT8YeeRPymkJVgHjFmsfAfVSTO
b5KFGNM8AFf8J3Mp9aso+/d44r9QlCnrz0UZBQ3ORvxUSieYUuI9+xcxoA5lLEUanN7yUJNUpRPI
xc04sGCekMBvOovNABDBkyywmSN73AnQzCFEmKDV9hk2Qrc37jLcrq2pH/B3vMUtV0OdLMGZnYZJ
v/FduZsCeppYy8dlYPuv9ZjcdR7ueJWmb1hyuAlmnoqXsK6dqBeO6YjaK4lRTjhpkz3nZnBs29y5
ycz0gjslWbiM0mBhkO/uxu9Kszamp18C1gsc7gzm3eil1zu1yDN16zCNZr8ek5Gk9+Ftq/KfVEZM
Nge2cVNgswbo0NFbI9z+xt6bHmm34/A5yunETfaeeNBKxi7HZe9vc9UeFQB9pofq1srtQwKrG3e+
9Whq2mrKmx99oDZ1h7qg0ply9q5zkW51BOJ2G/XxGa38ptB0j6lAH6IbI6lNr7RnF/z9Ip/AtVvR
TVDhx52K8QjMDUHMXAOn8cRaj2yyDcK2HwPCEog30E+c/FyUdyTbb1LmfqNNHInlblpzuB9nKncU
wSeq9DdTRxeYaC9QsDHpiw36SG7MDowFC/n3cGwfC02Yq3RCB0kg1Xns+OjKuL0Tg8egPFbpUylh
n9cOZA0Ho4pZ2t0Za9DG64GppRYJemPbXQPoYvw1ITmqTlZNmT21/Da8EqR5HDI1lD0laMj9WDn6
kpnhsez4HqKIAh9beEIQlyMgSZj3oZMf+977CeUDZKBSDzJX95oBvElr1I2bovppLTsgno9NZFgF
95rl7a2okTdUagxey+gBPvuHI3BseuldGsQ/MRQ8+S6yJNbTTKr5Q+0KT++XroZ0xMsHfwlfc2PK
ZliEtocpJ4yxy7dwYNMdsYJbgW07NuCgZe0wro26/USvW6ykQlSKouUlB6no6kVyE1h82mXChuI7
tTcb9BqJKP4PTEn6YhqY2SndLU7TWD2WU8xqo2UFIJjJ5SHBYZjcHeAQGfj5Kj+KfEhu9JQ0BKd+
CZV9Y0nrPutyQlhDF1+tPk1bUgZbNgcwENyRIRyJFD+KrLw6HV+81fur0ZrOovV+ep2mr8zOuncL
h5gHb9dzbS50z9vbyKAWFg/9AmTmZphILK5ALi5we1H29UiTorJihjqNbz7mnSXrLXYCfKKLRqsO
TQf+PlYsi21qnSQNb1HMbcPJSNc4fsjd1gPurM6f3jQUrE2nHvyhe4gTIm4G5xIbRrzs/YnVhcHA
2Qy1J6jBzNYTex1MzSYYO3UIwxJ51CwiwtjAmkQj7NRLx4OsYbUXhWTmgEbZ0OSnMdSnBE4FDIZs
HTqEEIpxeqOo2I1FYy2xchMvZ4fEE/aA6seKrYBR9tfU7nOaxEbfeoaPVIoErGXfUUj1LU8g//zL
SNAPjdYsa5WM7J1Eu2dN/FmnPBJSpSGjUPuxqMpznSAPxczwWRTi1tb6TR2xvKHSl7h0gMIoPdpQ
k1Y3ni62Qyb5tvnEj9BP2c9mPE20qK+SrKEN6zsqudBxEQ4wQcYWtfOkGnbYvt5KFYJn5Whk4L8p
zVZbBshe0LTe1gnhBxZW+dUYmlfisXpM2PmlrMU2quQD8JCNmetXUA4GzSnoFpHbb75fHAoVHAz+
cJQfQi0s0T5C29GXXhTOpFKW35XFQx3X3munpteqYbFZS3/nJ9quiHSUthxwC9m018IBPlWhem1N
LV85CAKWve1lMwTznS0CR0VBgIB7y0G39UuAUoasH0avf4qN5rkqHRIu4/ZZupPY6Uavs5I0giOS
ro4IoMACkYYwKvehQye6CewmumbK3E5A2sh61F/7mMUqtc/GSphUOW5MaEmhUDsZT5266+vD5L30
yBMC8441NwY49cQc/zE0U76arNmqLD8bBXKMItFriGLqU+egxxLmXtic8WqjB9lpoEeRg03hOrFD
qEoSBp3b39TEp3eY8ewh4fgN4S+O+hWs8zHIx4mOuX22G5awomwOZXPuZpCP1WLWs5nUjdjLk9wN
odZVsDeq8Fkfp22SVNENu2xmG1p1ckdb23RjG2/MZiBtFM3Goi7o+iwvXfeFf7CQcixrBet3oec+
G96xNQ1iTPJPhzngqc+QwWPrSi37OcrTfktAFc11U07Uraw/8WPyPdsj6bu+06C08ui+9frgNZN7
CyAvvxWTRmZA3ch9ZwfnpAoc562V47idhsHgPCY9mcsjgjbub1JLPxmFtec0OihUqDEghEXVsJjX
cMc9AUnjhOjINJa1tmPOf5aynmMcxac5EkIwklU6sm2kd92Ngu2cY7P2EfzR+T3Wpp6v4iH5GDC7
LUi82SJvNEgZBDKZ+eolGECEjfgU1n0ZoM2uc9Zo00Z12ozdUkefD7t4b8RBl9597Nk7TeuNc1ih
OC0Gbxm2KZbCRDzy8XOL68lnMUSHDu/npigH+le1jZzZPQD5e4MGFn1hhZ8zhOyz0Mv+JSNZggSH
qyXHlUqsx9QtkddFrKeneN9LtanC5NLxnrCkH7B8Fg92Lj84XC9QuzKcojwCoSrvda3acMBBypRo
4l29PhPrDc1n0neZaow5aO7Wdsn+jhlbwOCKx3U1NDwPPYLRADQeIUX1Oh3g5BaKhLUwN94mQsQW
CXZJm43LAovImSL3paqKm8FObBZ62hpT19LqnVeuFjbnxn1Vdkfe3J3N2GOBnPexIAl2GYXJqde5
amMiJLyGMNb82Sr0l96LZwCs/VwbA0ZVdm19CMI+0piNuZb/hEY3W+pasp/CQyWrE5vvTdEbLJdD
5y6wEOcrTT22RXeaMGQSuveeSOtQYjjlax9vOtA2u7Ea2WQN6pTqDjbPlINQC7YCp8mqtCTsL+Om
F9OxrUxz6UN8WqpJPUd9ml5MDzURMgINI3NlrGD6Totullj20kAvlGbMEmsbDMtU7WppoOsR0bvN
/GvpDO3FLmpz61awsX23rm/SsmIFZPbHJLIhLBObFCeetnVZ8lFzeg0vlwVgSj7Qvx6IPUi3Ksj3
LtVWAQ3SjNRiItIv/Lsd+30/JBgY//ch+Yawluw/Tcj5qX80Yw6CQ4Gagxk5+v0ZHvpL0g/hHago
nZhQaPfZBP1zQm7/xt9DQ9VNjFvG9/D8VzNm/UZ/ghSb1RLWedgnf2VCTt/3rxPy2eLlkqJtw+aB
n/EvxtE4JY1paDz77A31wW/KLjs1vTGya067oshXWdhOW6cHNAmJ0R+egDXBDsvdjDifJgpeB7O+
pkE5roIaTBrCqi2elhWOXM4l9v8YURK6ollxZwmag8yibdDqEoqidaaLbXBMw3fv03vyxZ77Ntfj
u4aAryvU4p2L+jezPWJmGKz4hGmeY1I2wVN25ZoW0n+lxAou3reWOEhG+2JlDgpj2YO4Qe8xK4+5
p1AhK1uDcMLYqF/X3zrl8luz3DIX7Qht7p/jb01zHeeI56NoZCJanfpIHvrWurd8zlTPzp7ElDx8
S8WRoX8Y3G/szlvsVhNUbM597HnvQRZNKCHkWbXGsxqGJ/Cn1tJkPq9RtGopExk/xO8uOWJXDowv
oEy8+roMng3PdHCMxz8M37rGDvEOII5Xoxb+NFz7IW3lp5BRuK5TPhTLae5sEzknhW1JWd0jS/CL
+AfqC8aWfbgTE27tcjbdp4nzUCa6sclRcOMSajTaNGMXNFxbVHmrtA/3ZkAhbKWBDQSbTVyNz2Bt
gFZhjjMezMK484w2XZLAjM1IGrs8xnKO9pteBrXdfuzQV2it+Clyd+W0NV2CZ3nr2K7pFNw3P8iP
yrWPtelWaDyIijIn92p7JCa5Qb0ZPO2n5WLcEMO+8BBdVWj7CItbFRVFQZrNpimv+GpynBwKwfyi
1dKPHjMB3q3shUe6WRhuZ+/UvInh8bqTOuC3hka1ITmAMb53SVyACj6GFT/Q6X5QiLYMOBds9a0l
8W8AUZmBBlb+0kYGTZHfHBq+waZuNxYKsy2prxNjvTJfT5ncp914O5TWs143Z7cJHyJSVZZEZDyl
fnAfyCBcFYKUFV9pe2Zo5qILqvvR9h5IpLmbypZXRMfgNuposdwwBGFWeZfWm3YjxzjGP+2jKjXk
JLKIt6PFzHDS0e71LSY/36oxAgq50uU4HXL4oNGYj5vcob0s2sxcpl3SsHntb6xY/5mgnAjRxa9g
351UVOCDEfZxzBmlCHdmYvsl+1mZrqQevVFK9JvRbW7dSr50WgB2lSeLLNRUgQc1v9IRtCp74vt2
KpZNa+8mPpmFbQ+QarMcDV7cPRr9lO00ydPpzRP2Ogk/k9GYmFXaL1ZvXQ2db7jLYzbBlbFna2eu
TMe5CTrS8pQEFyFSKTd9Gd2GvlopLb5PE3r+gGe7D2hk+yheh6l7AbRWblTCeqcvehgVQCAXZaYe
en1ujCvx5RnyB8L/D2Fa+7I3GbuSDbvwNOOTsu+pjnCmpGn6lPaNsTbc9jqOdGGhSl/zUR7h9o3g
6pyRVuNgQ9+9MyOnsFch0H0agRLhcEbougX2cM6cb63ypLShWU8xk4Zueq9M47UEt7RzRTYwFrIv
E0aLldMEDtQ6WOswC5GNBeMHsdX1XtjNNcgauKuFSCg683HR2kDayDH8Qf10bdLGWfYBPEi99fpV
1QKTiIoiI8VcnLuWrGv4Dp/dRBIGVf8pioxu1Xm5vYvjjC5OA1/ptqWLy4YFGqF2H0A20qVeS3Mn
4Eeew8FCY1aXA/ATHA2mUd73GfPk0bGbtT516zjMBr6nkKB2c/xf9s5rOXJj2aJfBAVsAfXaaO/o
OUO+VJBDEt57fP1dGJ250rERetebQlKTzTaVlZl7r72OnHhaT3FYXuhfD1OmXrN8HNcZ7NaN6boA
/Sw+rWUd/xDs+QlIBMbo5Gob2Na0F3ldHYrS3ibcKNeMwdKtB/OIhIZo3tEZvdYeZNVaI5BM7Qo2
KHehFgkYnZEkHHygx2pxKiGQZ57hTOpO5Ga5dSvjUAXWGQ9tsG2z2NuxtgzWAwGbviIL6hh23UeC
vmYblq11NLkCgRmckfqNQU48Rj4/zUPGe0OSx9ZZRk0au5ZVYGaciG1PVq5iZGF4MxKc/hSk8qjk
fNIiDE+ewbpJQf6uM7UmAfPB01xxnhsWb2HHRZh1zG3ZhY+5CYKEeVq6LS3G4l2o1X5stT9EhcM5
I1tlN3rI3yYDCzLZ8SMjjfC2jSDvELqwToqo35XlfLJadVYpxptqvu2xxW6seJEPszJmflRfpRP/
8PLsPW0U+2GcdivBlHKdag5R7960wSgKgGJmfKXrw7PRJW9Fot2ii32Atlj4OrwFcIB4fmq7/Exn
9yvIdDS3CDzQmdv8SOIU10Oqv5QRy7C+i65KQikn37FfDxWo8kIlp9zL9H08xsFzFabraFAvgt0W
krlk46bZF+lZL46FSSpsr+VPLkqb/VCOKTeGBFIis/SZmSvUnwjqiYmMetZLfa2l0QWuLQTvIjml
WKh9m5rqaD0HmGF8jihT3E6dPfKsd6ScHIl2JK844f7v5N/wuV3HRX4tJiTLdQx3XNXHqjFOTpp9
aKX3NYxs8wQL7bzSaDTjTzBA26Yr2l3jYkpCCbgaCu0Z0vd5Dk5ZTIfTuYeySd5kF7+HDYdvj0M9
rl2UWmr51HgBHTFaswYcspvw9mQsTmM28ePM5znCbLU1TfvTYoyKv819iOKA/5kDvM/oa+qUgbiO
LtTga7fj5vbKDeyAXHRbcdNZWa04zk6R+R3ZzqJilIiQz7D44eVYYFsCKYmIYGdl7Q9Cvr4FzEH8
MquuBG7cLpcYw6LgyTzYwfLEOO5ZVxgzT/WAjbNsaMgXB0gZyfPEInWNXPa+0xjHuTFpzTNIv64Y
WRMulFRjYChild4Kb3WwJTuVVfwM6seq2RD3FX+al/ebcJlBemmEa9xabg/1wbXC4zDFX6HhRNtg
8G4mI94V866Rydr0dvWUr43x7GnJY5iiPseWnfkAsXZx3DNEY55VWPO75Q3wroN3T8DkNoH/aUoP
ebOqt6IwmYSYQ+xQiPv6xNcHqjEqB9Zpz0bprkaQ5V5Tb7y9FaR7k8DWvk3WyrPKu1zUy7Quj8Sw
iWzH0L6FfVHoeCTypj5C/xkyZAhD7/VQ63ttIivLec3pAbW1reDIBLM7RGsmQMdiYOg8JuSOsQLc
zRIQdl1oW82NS1wozOgiG1dclnRr1RffiUScN7nXV6xjA2OTmvGTVecPtO3jFnX4VxXX35gBOsiy
Df5S7Dc4dA+ha7+V+Xg7Ltj3cAHAhwsKnntX4ycJeHhnQAGssaemnLDsSHQKW0NJ4/1b3jvu5h3J
14EMz1VtMO6DQj+27rWHSi+h0y8sh1UOr96Q07qR9tlYQPZkgr1TW4jphXGfwLpvFuh9y2RyXjD4
8wLEn3pvj1/itlpQ+TKcdyOtxIp7zbAWKv+oh4yMcgD7pNWSL9aIM/6eezPpN/kC4yeDYNhz7p4l
nH4XiLmfO6D7u55v9ALzb35i/RfAfwPpv16Q/4Tl7solBEAayWtSQesOb5ISxgKJKMMID6JuEIt6
/VXDbI9ipL3JnPiDwGHgKUgqB+IHikC/OnLapsQS2OaNQDmhkRVTL5EFPdkFCfkMLVkGWECeoL8D
DCLlwKt3OAcf4CP53HuvE1kIUQnadglHsEhJmJe4BFxarzzBJyxEYk2qoNqES7gCp8KrvcQtZDMT
5oIEhnGJYmAeRihDNl+GJaahIq+h7IkuJ78Byd1bsgQ69EhcMxIeUpIeoiXxYYl++Hu/+vt+lWXk
f2/oX4r0P7TzywLzVztvGgjUdGyDQBoBYS1r1/9v5zEjmgje6PGF/hO/90vvaXm/QbazYZQi7jR0
ZxkC/GrnGQ+gWhee5eEV4LT/S6ZD8yd+9p8Un1xsuEISV4LulHCFpd3/k+KzrcmC5PwYb4iy1Fal
165dVT+2JoFFsYnvG6JP8Rj1RopVN8semk7Ve003un03K4OGYOQ8KEhxqmzrasGU2WAK5m7ixp/W
TOBiyzXhFFb9u+yG8rGYUKvgVhlvJfN8btW568tOFY82obm1jrm2pRT3UVjcZMGiRxry4B7lEQIG
9LKboCfRpzGMp4zL0T4Fjg28mugrpztYk/cYVF29He3YXAug6DcpOdo+hvdXojfxkgxA62czeqLf
KS6hOeVbRsadzwYD2xIvwU1keGrLVkaS4VGQxjmYiGYylmtD6cp1GljIr/O5xTjgYgqkY7FLgpOX
pNyuIklSai+Dw266JXBcwkbxnbA86p1NXxvoGzPoj0mtnSCwPPNqXoqCtaTeFsRfiY5ItiR8dXqb
pA/UJIjlvgUEYtROjn8pDAYapOihtRssl6mGODA3XF8EwT6ZaeY1kX1aAfL3MRdHUTN7bbH5MMaM
422rOYTgKa7CuTO/8EbHiDnKh0JTV5voTY+lE+kwJX+J9aGm5pbTrj9DIakZgi+ZLIN3pfdOV7Oa
r07BW9oiNaum4TbJrHfTqr/NQ/JDU/SKRUg4VTreiIErh8siDMEYMZCMrA+O6Tp+2hHOR6YfEdr4
KszM3guOcRiB3qZwLayfRvhSBvMdCfenuKLZ1giMWPU5AjA+HxgFCQr0bpi6x9a7zoBqOriQBzZu
GJw0hXONdWBNxBjnNpXN+dQajGmdh2NMm5BOQpNTIEwvICeOfYwJ33WQ9YNVO6O1jkkmZV6vdCOk
ZeYKNTnJxqsMLirazGTZcXq/92pcYEHyozLZ5U0hi5OIHndTxHILhQJaABk2yPQaddCmpmKgi4xp
4Avu63xSraC8T3P6oj6yD6MnWVkmmf6Yh6pBfANUjzRndlcx1yYpcJMqXCG2jmhoUp/TRPIXttJD
4jiPdatezTxvfTexfMCeV9aLKdN6h9SDodNXaHYOmlfbNyxxihVBDi2q00hsxxp+XVIUvmqdM6D8
kgvdJH2du36ddtHRmIpTZad0RgXLtaCV5DR/bwx1ow3BljjRcQuLYtdWqHZ8lAC7BlLgCvfw2qvS
9zB1gPDQ5pt8TcrSHXlhCboIm+PoDuUh0VxYZJFh3EDAWWBBxN2ysAuOLBYZznjq2leYUmIpNiaZ
bivqKZ/zPstXqhzvJgN/1FSVQCYm8r4701R7llMMv5vC3k0Bd05dqxrklvkpCHV3MwWddWxEMB+r
2NB2dlHpm6Iq7wTav+2cTEdND75jR7RuzZgdAqdfctAi/LJhUh41qBvBGKgN84+Xyo2DrybP1gww
O/vOjePPOZ5ZaRCU2tZ/189/GCYg8v33+nl9K9+olf8CKjN5zP/XT/i1woCeziRa2qCQ/ql+CiRL
AL2NpXwuCMM/QGX4K0yLeBqpG/j3edQf9dNwbMl/AT1I7f1r9ZPC+6/jcNd1LQToAma9KRgR/XP9
rDEw2k5vzjdlifrRAK6/QvBDb+RMT0Zc7VTo/bAZNa1RUbwjcniNBDly+mifGkelS9v5tLBtdGe6
ODOLT6eF34fTDJAL7VqUbifl3eppgFARdwRHsr5LRnkZLOdcZMXOC+SeKSRRGqghPHZ3fh0sYYVi
eBBO0dGPG5+ayE+YaUvilOzg4i6ufq1MFAxbZzOZjLoqACsZnnfdIeS3NL1nt7Ruiby4cRhYrjpo
PPJs9ekzqIudGhMLlYG8S+PggQhm7trLIt+JUVenhY4TxP4ciiC+zHNXvuUtv4f52I7dMKCzDl+1
IPhCY0mKs5iwoxRiQUv6BDWBBX+nk6pplgMyxuUwScIKVZDDqjZ9DwC4wMtBu96j0/55EoFx2Y3L
4eTq4RbS6L7OczCinF5VE67r5TwzOdgsncmmwVEHsUf6Xq3D8knI0lrOQzmIh2o5IaflrCQzjb+C
keYNsJ1DvpyoiOPZVS6nLHenq+DYtZbzt+EgbgLvMV5O5kiz9jZHNSo2xMP26GNkgCKynOco4ZHV
cMQXy1lfLaf+tJz/7ugcSC8Z1zalwaBEjEutCJeqETAQ8smrVQdyu3DlL9WlpMxEBGFs5qXyVIrA
Qcz3P5DAgFGtDK5ZS6WSS82aKV7hUsW4pIVrrTV09qO6TBBnmBnIVJUfRKc5bM/xHg6alxxKD6Cb
i6a5t222IKYb71rsttUeim+hHjyIDEdDhB9MfcqNhxv+OJdhhLa3PtRV8Njo6Ob0lh2+hiECrS9Z
np2z6T2GmH1eMOKpL02TfRUjahx7Hk762H8vG4KRECc8d2aFfgrSs9+rEuyap2/cZj53+XjOmCdh
O4/v5tbr/YII4HZwLvkiNFfaczsYOoubeR8zoiOviJqH6L3zjK0TxfBx7KRYyaTZxa55TgWyWV22
dFXqpteTJzkuiw4UWYFZOTsSyDI/NqpoU8dFs43CHMVfcsFGyoI8CDcwri55CiEHND06Ee2DAM+n
Qpso81pAEqSpf1hR+dzD9dUC0m5rzzTewEvjo9VeenvxfrfexRoZNxuTSO5EYr/ivTs1hvvhzs2J
0JnrbNhs/GcCNbl6jswkLnmd7VKdnQoa7JPFsr6uYx2VTniP6BqDSTS9mu5jom3syTuVUUQYK3Qk
VlsAqEuNKztzlDZJ77wIDaJZ1C+l1t7HolM+Yo3b0FGFL4gBtga1zvC6a5rYM4DCBqkIedNr8HJ1
goAllBdXyoPbJzfoM/yOgUxtDs2pB9+xS7L5lSzwlkEq+2v8Yk7NbUqLA7/tq3M3zAdZRu+mU+or
ZbC/yga5KqP4oU2dd1mHFfoqMm3zyn0mX5SNe6b4EmP1hCvYbrKKs3AlF1tFk5tTdv27Y/3ZsRr/
E5NzyMrPOnpL/73qLo/7VXUN+zcqqwNk3eF6btlYEX91rYYAAopY2CNKnLWyzaN+VV1rUQSj2zIk
D+SqSkH+VXXN36DWszO2kRCD8/xrS2iW2v9SdV3oOEBIKbem4AfKf0HluCFW4FGrpstosRjdGonu
uZfSBdj+pc8zJYkFK91ViVpPd+d9IaBPcaEcY1hTgpxtZTJa8jAC7Gujd+FeCfMH/QrhzlK9QYd/
SFSS3U5QaXC2CFSXjkGYlq03l0KIL0REMfBJ8JZGvqTNdp3FqRXVG8quu2Io65xnxjukyqQtyQys
Via82Sya4zioryU3llXPxJR1X3JCW5Gv6Sanbe1IfNXUiFWaUaMAvbPAZNl+tfvpmDjR2Stadcoi
NM6JxoEeYOvwVrAkcT4nGLJG6bKQaRE5VdaYEOflEkA3pojvvA4QuK29pMK4KcWYH92we+RI19cq
Y6zI+LIEkzVp1zoWP/BpYmEqXGNHE/s1x/ErM0quNnZvEJmkXHUuybp6YjSv2KWFl6CxsByH8Wcb
zOYL1nbWlizSt71Iq7XbpDSk0wIXDWQuTzhcjI0YdO1ol6N+doCH7KLQxG5fd+Jcu+6dlwbxA7zr
wxBOj1rp5KvCJltb94o7V7BjAVyf+55uw3kt8DrPCcecrQ+EFU+JdjZCmmnYQ6Hz0pcB+2HdSsii
Rma1CzINXd5qrmtRE2XBSsJEMnCZjKhiGx0Y4MFwPOk4+uFfkLpIKjhLctPVkIe1k/momV0aHYjo
no91n8ubCCdMxf3AY44reRHUjWSky0iV0OjekMnZZLttBNn8AGuV6MC/T6+fp5f9PwU0D+0bTXT6
1jX/fn4tj/x1fqGUsUBY4rHmfBDu0hr8Or8YyGE9RUTjOb+zvv44v7zfdMIPTBKFUVKDBfxT1+D+
RrYGxlXyNdAemOIv2UzBhv3L+QUuxMO26oEOs/mwLqqhP0/dNE+zknpMi5uOC8F84Q7jxFdAmrG5
aduMtHj4ilymUufqlNVtt/QQLLY3tZk9MoorVpmRnSuzfkmn4pg2+T3RF+tWg5JkxeqC7PvCboer
uTvsSACHSdgk51Afvs1x/imjhhFTb7KHSkSBzmHeGpkdg8uCsKJCdip2x5ypjS9th/RDeDaZB31u
vJsIpWEk4QsdAoSBrKLZTqLHFS0XAXLmZ4iei1Is+6kaA9qIgoxB3MFdRGWVK4/ip87M+qk5Uz/1
Z1IGoX2u46h5ieHCrLue4Lpt3/UxEoEuPrlNLmI/lU4zbPB2a+QAe3W8T3K3nzdVTRjpBmk//j0C
0d47sWTZp/k3l4EglJ8FekVEbRkJCPOFWrsDusjYS4ftktSKparyTWSiGBqjTTWjnAiltSkUwgRd
PWsgH/D13vdu5uf4RG22TL3WnsfBuZGLLNYrhV+n5j1hFG/g0U5p52oQPbtL5+b5ytVI4mLFQi9o
3Pe4UPC2bHJVXUEofzE4W2XasAdccRxEtoeSigMlv2bmeIWB/A6S4l6GrJpi8ZTAaQsdd6+M4EaE
PT1EWj6kJaarfNGH6rvBae7r1ltb44B+xP6WueQLS+9Nes0RAysMqgw0dSy/cux/diquFlmAQ+Ht
bAjRRtGQ0djcYuN4YS+ydglmxPyxyVHOzgWRXxNrG8T5eWPDjTYZ9xUXdnkrO8uvaAb9MkbSH4ZX
iHFX5DongsJgxrTH2GG9IvRX04m3XtReSiCRQeHFm0VuGLjy0YY+EmXGzhPjGbc1MDepXzsEBUhQ
rzVhswwZ/XbWnpzQOgAB5R1GPM3U7NDQ43iYfqWqPqXd+H2efnPj8Amb830baltVOme851sESFc9
ZpQkJuM82ON7z5Ng7GWsk9w4q34+smj0axyngWtstWg8DWN4KJoMwfVUf9auiU56vK8nJpAq6J07
16kRfQzhVSj7MsG2vqlTPT5kSYqyJTILC+0o+gFMO9UN6SSEevKR6qR9SPtGYy8zlOuykR9TMF71
ERVNZp2RINyNVSvWI3GbhEe7a6uqXrGy8vGzBLM0taNpmLaapV6xf18G+patl3WPyaA2lmbhF7Jb
7J+YB7hlkDNlZfZiq67HZcWMJCs0LswX7+2apgDJRbuKR97xPpa3cantGsQ8JdujfRkmmq81ZAdW
o3Fp426XKLJOQeLoA00nnw7eLRPrn+ya20qFk5/bDSwHRKvh1GAdIrxNJWer0mD0AcOBmVSa1P2h
yn6UsKO25qytaRqGNWxUXqxW3KE5PRS4WNdEX1iMvxVJrvNIC04QaaGbGBxCBrNxVJ658NDttJqf
mcX3Fmox2DyyZ7RsvnaGdWEZ/SEsmkjNM/eqzPGFochb5XF/j97juZXiyBB872lduk2nHDxcNFzA
FU+r3uYEyLSUYWiZo4WtFIv7qKy2cTedi8oYVsKKbpKkeuoFKJ0wHB8DwTAiNKJVrrXMhJMbBjWG
H1aEL5DNziAny30ZhXJlO9pwngsrPYWEFPl/1/6ftd/8n4SJ62f/9vGfpoV/wktQ9/lJZH2wWLME
999/qvvwqReOhG15lHIGeb/6FkjZVHRE9XQU7vLwP/oWyBM6SzgXwDmwCjyOf8HISC/0r2WfDC6C
E1i2CyyDPIt/LvsKMg+u4Gi6ifJba3IZeikSqsdWPo2zOcAigv0uzfzszem9N9nvJCNpcOdmxGwh
qMgJUdnKbeWxSeSNpZPwN2riXYbJJe3k8zxDIBvyrw7eZKUhigRE/ZKWWYl6QeBEH2b4m9m5QP3J
sKWXMCpIhNWr0E+JTFxVInkWgZjx3ggaG0V1ZA7J1t/5nqQ06NP8jhEt/x2HWHVPSdTe1tK+RmSz
ohD0HrIENjA2tavqW/QMi/hCa06Gxzd6zPttNhb8zTAaPNDJXnfovHDLXUstqpttHmrf0Kf45LWs
uKBdiWoElYE2MndZf6u8MTbzQA5NVNHNpFQ7THC0ph+4UW6aBBFSEFXTwwzzKerx0BtlA1cLU5MT
WyhUhM22AvTxRmrOSzYnJi2IcjdjpKdHF7XYuhqMZq2NHLduEa+9oV+ntnTWcmKmOrCTsIzuQUyI
5+baAQJOWr0fROxUpNsxbkTUhxePq1LTzE/GMOBJ7z30jmsHk32IM6nt0RRNWKTJFAtSe60KVGwV
hDoysTdAA3b6QlQbetgVDYy9OAh2I24+3/25uHKMJ9sFjpO5OLZYYqV6I1c9GVxw+8OVaPjghKp7
avP8NUo/a4URgTyxlWM3B/KKTmPtxtjvc2KEdG3DlgOWgwuoQ0cSlBBAT67Ct8kWx6xEEJI5GLcM
p3pC6HwfZDazSUI1yuEAmGeHW1PtI0dZKy1S+7wJCz+orBNmHwOUeukeJg2D3px5z1pfe9B3tO0g
TSRWMGubCBGNGg6zhCCmF9id7ABqGVcqBpjlLorQEtOp3+am4nrmbGG948Spu+eZ9OzUMb8Q8cA1
jEkH9opzrpKnyQ1f8GvdIoKI/LH1uBXO35saehZZFntafddPURnmY3vMOpdPczx/79tpAV28tVO0
oRE4yThao659QSfcrpVFnH2io/dI60W3XT+FQGVXZYcrRXeTU4Jqs5yp8q37Ukk0w7Ssl7p07+eQ
/tRS3wyInTsiHvys616RBt6bWORcI7+xbGZ6pQ7LQszmOfb6jn/Kz3PSX00r2Cb5R0LX35HCu2kW
KWO0aBdTe8EoTreRgP0O/XwlB8yvrdt8Z7YwgqM33zKFVsvRk9bXEZ8aKXEofT89iplx51ikLkXJ
fczzABab/jJ74QXc9J1lUqURbK9kJT8Qu+8zCZcEvt0BpScfQPWYxvO4UbH56cQ2jqHeeORj/N1t
gTGBaCGYTtw10vqQ+EM3QPdvC4XKOmsM21eB6a5DRRFOBVXQa2uDUJExZZIi7xNcukt8dHVQfahD
xjeGbS7k+6jaNy5Rt8ogpE+5jlqj3VR+NlWSgaxzKr3Gvp0tb4cyKczvVF/FD2VuoIdFIBYk6DGL
4mzNwbtBsneXdtM+U1LbtIkJjzjAiMUqcgv0Nt9ykflEBj1vOpc+p05KJictYteylbwC0uV+5IAb
VHZ9ng2YIqaBIto4hGF7X5O2x23IOojZvpIcdioy/sooqdY4CqA1zJq9ngJQhmHGldu1/273f18P
LrX2v68HD2BG/73RXx7zq9E3nN/E0pdT1VnpoaT5o+Ab3m+uxHkJosByDWIL/yj4LtNNdomuYAu4
IL35T78GlUsAhnAdjH4mTKllBvAXKr4h/lMAhrU8B+4ebBx/3gj+JK+xwpRI8h7KdZYIllQQAtdj
kdnefDeZ/UyNjGSoZrGxw14P4WD0ybCBA20acDHQqBACgUcWGLRHfcOfjwfIWXnd4NSc4tDCO7YY
aWjtDDfHl7Oy7TRqUEGruDfXmpJFTt8gOvvW7TpZ52tXL3v7NDrOwAmC+z9u3ty5reeZhaFyG4SL
Y92znjIwIezippSQpvXwEIw1bvthsJ9Aj2KSBCpSdUXirOwkzta4CfsTVO5pi8Ulv7pYY+8NkQzv
eu44JdinMHjv7Xrcpo2enSORFBtiJNU11hx7CwIoxIqBgZxKa013hmuqA2La4UKTP1wNiCfrGjtH
AU8O2zyg0Tcviho/bVFx+iFa4AONQvsIBBvVZ5g7P7g7yV0fpsM5wLJCqY12qWZb996sk2i/+F3S
jvUramzmIE7bYqIQ+nStoWNtE+CxW7s0EB+ysqIDQIr1ztvU7is8eVgRS4KZpAzNV2sm6CCcGais
ErMz3xOUGKeuaoLDlMTNd8tprDWMPTTZpQzWM03bTUdQAy9pfqhgcTwYDbcPMOC6d0FbIVeOW4TX
aQmQCCYnujpLsISUKSfsLL0rkFBnn1U5+p2JVUtoBdMPxJ7p2RlU89yRsLJtZJwDIIvMi2UZKQaU
EA3MJJEZGUuihpEgJ2XU2dxakVWu0V8WJ7RZbKEI8EAJPW8wtXvbypnGr8Fm+uCVWXAcC6QR3KJc
jYGJAKHOcK7wiwk/SNsysa0mL9+VAR4RVnHzanRqLmazKdUxrTXxDODmG425eTY1r7zh6autlhDE
2RQmUvG61m+mOSSW0hviQxCh/i2gWl3sppzuw9ob1n0zVJsp6iCG9rPaNkDSgr9P1t9P1iVS8b+f
rI+f4Vv2H5qp5VG/zlYmpRbHoGOzYmGGugD5/n+IaqHKgL1O0KH+j/3QP5opWwdiaTLYZLjJuQwY
5o+zVXIgLw2QztHLUgmYzF84Wx3j37opWwjHWH4XVGjxU+Tx5yFqnnqs9nkaNz0tULOOLespcLAT
5LnGPSDYGK09L7L/aaX67jAO0KuKzAQD0ctj6yTCL/mmbIN4evS0otp1MWCx3OBwowHaxF35IzBH
BH2AIukMhCg6bW1p3XPD5Ot+giWwE7VQ59CexCEe3bWoTMsv3b6+OMsI1YHuvR1d471VzZdO9swe
XcO1NmMj8kWBdi0aOyAo453bx+KuKrPUD5LBW+sp6r3a466USjbmAcbf1SRLLDk8K29MtnHQaXsj
pi+Ks4Xz0EUfRg43EyUweREtkw+0dWQHBOWsVq2VkPelcuNGmUg0xi7n34Uy37sG9aLk188RcTI1
aRX8FpRxM/VyVVtetZbWcElddRMX4RFHxL6tmY21ufnWgqc9iYCTpWh7KG4qvi/It2eazH6HTrIW
eGaiDFHkvMxK6g7tPHm+DNuE2ujkO+DNfpB1zdxJ9w4O9pR6SAjdFfKbVbk/irq40oPAuDJCKL/O
rdOqx6BH1TIQRNezXqlL+6B38sJYuFmbjUb4b267uzItvsdDehR59DLGbeNPUvsaA4+tdYt+Iu1f
nVx+ljlXXfyTwG3y1iMBlpelT5lVWyTHnqOIDV5SNRE6O/jFU/ycYIRYDVlB+HHujBvNk0y4SAle
zU3zTfTNCzNMv8CGDdsL0MIURGQspNVzARxnm+kkI5MzE6wbfXwseOvT1ASMFvU65vAZ5QZuVtoo
u7stG/ZuujvEm3rufthl+70HCpMFOWFVlvFRqgRL0hi2xxyaodI8axswBt+KkaCFmcLDr6dH68ip
WcGdzLDvGRWWBts6aJ2Uu8DLILh5BV+EwvuayEm0k+bdKrFxSNDoGyNusLeL5otAO8GznTKf737p
l3mSbqMZtUaoYGACyvariO8IeQSgxQoYcIpkEfYF2MWmfhf0Qq5Db7yxerU3nRziUX4jEu+gadG2
Mw/YEtVwkfzMxm4fymrAz4sPN8nEN5fkCvAi5E5ZmMYAFLJVIKkYPHaTt9/dlHVlMSK8K+JSbhqY
Aixrab7bON8WSXkxzW5HusNTE3SHpArObVZm0DkaJpfTrZn2e7ujTXEHyad9HG+y1GQErKcvYUO1
FSWGH31wD2hPz6YkgaEtuTZYLbMTVPVFklBQIcNj2zI8n21hdOji6Gx2Eeyb8iWlxHJ/afAFGYpu
3fnW1c2NmSX2Dom+hIpo4EsLSU6sc1rQMHDxqXTsJBmkr6SAHKpN2f0g1LdZ8fyqknzamYipueVx
QZYism7TNWHIBzXXn1Vu2RtzRrdbQfLQgfgwhhXYoXhZ/b796Qy+awc4E1bUTRtkIfY66Wuxx9b2
5RACaEfROQrpuMcUf0qaIz/LopdZWI+Km4Bf4wf0qxbyUxIb944nXwwVZ6vAyu9MDZygMXtfQnY7
5vOLk9JTwIb6uzrsdio3H/uwQWersS4vvSPkI6S3bnaXkkUNJVM7hkP6FDktC+l2PIoJJuQimWFr
jbW2wiEi8iHhfjgW61kPL3OOmxOpygiQI/0KZvVYlQGDMAPouxWF5W4M44+6RK1dkF6ge8O8ttnt
+TkQqdMQQAJpPTx/A07DueLObTGe1npCQhIZPIxWtOlMbc8d6SRl1nPzq4/Y7FGkGCGY/SqbdtZA
qFQqCmcLzed7Vuv4GvW3qhmx+Zohrd7QY93OnkynP89c4Va5SXRlb2/rONgg9j5FZb2PG9XuZz5E
/jCzIHNsfQcJ6wezhIsTcGaPLJ4E+R+VUX+2cXRpx+ptHoONCwp/1Uydb1vGS4GgSiVIZkeG/yrR
927LaRq0W7vnQ0BYNyd3Cd2S6ZiT5Kk/Tu5j2UWX2XY+k5aDMrJEselTYt90xjSY0C8M6+vV2Ej4
iDPAUHt4JpIMoFnKOtAd6tDvTSLxZH1XO3S/YonZ0cnboXbWmyIKicAMCeOh7wFhtgT0aMxUdnVT
f48S48HJu3Rhyz4ZbvsSL/E+oFjGVdPy0SDByOAEARlDIJClPDJVUefy/N6BmWAL84qPZkkRkjGG
nXxJFsoT/FmKXSg17zIs6UPDwhNY8oiYrvkWK7iNzLoPtagbdbf6sMIcQ7xsfLXkGrW9whIoCF1F
tQy6lq1aMLL7U3htlm9Z5SvPuYauzrdsyU0iQHRbEKQ0McZD2vFuLQlLA1FL05K5FGnxK+qKH4tc
0gqzbAcobsc9gvdA9Q8GhBGfGaF7nDV8f21IKc7JsEi5GiHinCeiDozmRs42V/3sK9GTgiXdcDNi
cUdyDqnfijImoeUXlKlgo9vyBT+hsdEqcqCCXLwloeOsykD7rleduqu9/MJpDiz7YvfhLsSHRlYH
K+OD3iayIsAkLUJcmpG+jBbZK88bnWSV8Pz3UuJ3QcL/nFA8/B97Z7IcN7Jl218pu3PkQ+/As3dr
gAggOjLYi80ERlEk+r7H178FKqWkKCVVaTW9ZjlJE0lEA7gfP2fvtZGwErhcd/PPfQr9TZ9isQFZ
imJQSdtIlheE4fdaWsXRI4gT1PA+LMqEt30KCltLh/3+FfxOBf6tT2H+AReRQlsoOPgVWflHggT1
HWKRv4QLSIMkZSKsYl9/L2MmZ7MwA1i1xGVy6yNTJPKX2AnievLbiHIQvAO9vEatuY/JS0Rm2u4q
Q3npCxlnYJYN+2EpAeDYEZEgd9ugCOhjKAbuTkyrRd7FXkcsUyziz4MPak7pyYog6oDTeEuuoIDO
iih5ss8Zpt0YNQ4UnPgMU5P5ZEqmmyBosRxHt36sXWdZlJ8JxSfSEIMlPmPBQzIq0T5Lw1sfk4ab
2PaFlXASHTv1GUBR5wWqNFznlb3lGHGIy3HyZAJTpGa8ZM6H3rJMdwRGHful4NarjUE6x6o30KCK
+oouMH6YqThtDFgXQattEtkO6XU2T8QvEOMZBL0raIautAicbVRd6dgCw1E3HFuvnaauox3L7oOi
kOU1jMOxDwgVseaATCcoBt2YbcMiIlIw6cJ1WidrJu6XfqBMW0jkfDRd1B/SiASLzAiO6Cn3tkXb
MU4JuWqlL3Gc2k5UVcIBWLEZZqCNlS9qR+oT3C8Y4p1u1rwutc61IMdYwbwyxVTK8V27jGleF80X
1SpeBH+ug+LPn1p8oUrzGHa5vmp8Bva6aEnCotmqQVFzkMo5mFkJ5kl1TjJTs7UK+xIWNgS3TDmt
xnh05Uop3cgAEI0EX93Mqnqtzzg1kx7gh2TclCix91WPkoOuMgcn/yg3TDgQF3t+lB4I/jonT3Hd
pvImHSjvRujiuH9vGfjrm3xkPOw35KLYaeXNkTidqulOLTJPz/sHfPnlLtP6S6buIMbm4ZkrjzR+
0udeVMpZXlDyVMp0Ho8MovwkPLU7yT/ptfozZA0MaLWi7iKW2YdQyoRbic5GJZ/D55Vnz0hwldf4
io9BL4l9GRTNxUgzY9GcLYMgrUQzZpjWF6u0hn1PkI/lC68ux22r+aDXtWGt+fW9rRNxg6Jkqycl
l6CxVXYIX4cJV6jBR2xBaZKycL7RyoKmnooWQivFlVWZh1aZntOwStZKYlymPvYnE+jCnDFJQNGo
0ANyExMpDtOZL/Fc2ru2EF/GhbRArAw0MLp7EHaai5Z0Fh7EUwoJay3qoYQOWK84T0qo1HWXmnLp
5lsdzaOJ3xgRxudDMHmx4r+kJYgUMhjQMLTyWR92KIk7XV2zYx8qNZfdWTarbdBBUWP7xk++H2KV
+sNX72NICksh3XJsluRT6g/jWZb95LoAYLJNe2sCN5qGyJD/szu97k4areu/7/KwO/2X81znj/WX
6FfcqeW3v3V7kPwq2oKHsv8Uxv21Q5EyTZsHRw02G7FMyP/aoQz+BeeobZCK/qfQ7tsOpf0BXIYm
kDDMRTpn/KMdSlHZIX9IZjBxvWoGrXmm8DTUX9Mz33TS7dGQ6L5q4VECpcmNnLUA0CYGMv1UPfS1
NmWIZ+kpIviRBCFLyWwwMByqJr6Z4oTZL3ZU+ZjXqr7OOUSAYDSF3F+Mg1VMjx3DZEKZgrGaO6IK
0x5FnlOBm1n4BK/+QXSm1byjtVUHzaYFyx5eWS1xTDXdCeQmksDGPgdzfJ2xON7oDJ5Udkp5uuLA
mEUQLeLQK0vW7KJNmy0OQvBqRic+5UoPMGJiRvypZBKH9B3ayLTSaQ6kaHKqfJXATDjXkr6817Iq
vpeM0tjqtkJzW+lT/4zOTUAmqMW5AeeI1cGrmMkvtCLTx4eq7vJAzlaZFnensiSyozDz/pIuWOjC
hlH1VSTyfssKaMA4qiy6HrA+KT7tAuYcA07Y5lZkCOwRqbiUiE+YV3ObRdsU7tNTpkraOgz0qclX
k4z4X/VYLePSd3StS4qd1Wvtxqj5Qnj6R6m/b6NaURhy+D0J2ErHwCP+Ov6Yvw5DpkGbZ3tLcDY/
NpV1sBFyO180dR8/aHbeXNiiEV6Mjtl20kYPr7OhPNoa8unzQuLTPM+loJfdoFmG24FfdNUuVAHh
nFmRGt8naaNes5WkBFaZgHGcIZejdCtrUASQDwGf2XECi8d9JiJ9eDYHK3i2NVtsiJ3xScMMi4px
jcqRTGpIapZqsWYW0tyFSL/qs4qETBh+7X9Wrj+NgWhi/37lOk8fn57rn2tqld/6tmK9in1UzK20
gWWMfih6vtfUCiJfvMIaan7j1eT3RuwDzlzTl5hd42vh/L2mZmBISarLzGUgniM++Sf9afqi71Ys
1kRKXAunmrV00ZdO+Nv+dD8NmH90MZy1I/He4MZui366FEs4AdnwZ5lSxU/QRnJSN7VrraVp2nPO
vLLE8AJRy0OhrHOop4oJYJbKtLudTFBDR7X/uQ5wio0pdV7f5Ze6Dfhbxoa/GTjnWku8QliKz50W
XZn9fBsuAQzqEsWAeXk1FmFG3VXCaUPVny3BDTxa3pyqV1xrPbTk+dUDpai6xD3EFhHXDChPOUve
6EskBJm4X+KGqRVZEbI+noVBs8UtgPiRNAk1lGVPJ93FifX+fFRF4VpL+IRQ6RtlabIoBAhRoGFY
dfEOFRciQfgX8Jczz16iLFAVWRSipeZqCU33JfCiWKIv/FK/JqIXhaUNtFdzO9gzTrXEZODD3s1K
rK/aJUIjIEvDsL/A3+b8QjwCMRuib+86GeZeGTPx0zVQQd3EUdvsuxC15vQMrWPXK8ITGphvWw4/
BQqRawunNrVAm+vEe2DNwmgmzoZIHBerXFDUn1hxPnfddBBFspGSeW1qdM2IDen85EJdckQCw7y0
+IR8TiiOVNTekKbHWrcvzUj+nIwYxkfZRiCx5JPYYrjJVP0+JrhELUkw4VSke2UHmtsm3kSJrWtp
SSI1Zxl+ANyBgSiUmUiUkmiUEj1CsGSlNISmQBl9GAlRKbXuZCRUBQWkJxOy0hG2Am8YfdWSv1KX
gXDmJZNFbaoXQUiLvKS1VLp9ytd0MsQCc0e89vUXSEqur/J2BrJeSrHU9Hp0VZACQ6IoClFyYeaY
qXSdFw9abrJJER2TT+Mj/VbuLwWMA03sBMVSgdQ3BfI939q1hgJWLTawHvedOWHQab8AH8OTH2rX
Bka+IIrI/vGrc0UeYAkk/bjGhgZKSZpIsA87i9Q7i06PnXyKWz6kGXkXmKiGmXSmXhJj5Nq0f6fX
TB3yd8kJDobgqHbkDTX3abXTeObuM9ytxZLMEwZJRBtIJ9ue1J5pqO2dnywMZ9GMG30Zq8gdea1d
pcTutGT/RIQA4e9sbWS+VYsoJfTjyW2JQZxv+lc1mNHDmbKdgET4q9zXOFRJAURhwo7hPnZXMoc8
EoR0qA10he1FcWaRLihye0M4MGI0xnHrdqjTfVTqws0gX7jloN0XvRG786JCSkNu6XwApRtiDiQi
FvR8BPTPsscrq0T7BpLhbAznL+rrqS6w1jDKPRkVXZdkyOnAWro5HGb2sADslDiOOr00NHizbN1G
aPJCi8MOaXAe5fqOrE2nhuOZouIjF9pDX0w0Afo+Ml2xE6P408M8OKZoABPdvOLTVTakxB6bGIUW
akGbEOVaIz468IfPjal/KgrtLpPpJKgoDeOFCF5B4YfRFH0yODtjrMFtCBzlOCxSxXxAtJiEKSHG
wEVRcK7GiENs1RrYGpE6qpXk1lryMqGBLGPxqawiInz1z4ja6Rtk4sxENWl2hezoVag5GoI/hxBa
iYgu5TNZKJcWqku+POSX8TzgmxQ3Wd8PPCGIxuEM05u1grW5qHwQd5I9xwkc+bIBvVo6CCRBTaju
moAuaYRYKEY01CEeIn38wODvJFlURYxGW3wK5HX5fcZRMWLa2AmMZHoGzMlHmiQtNPnCruB2kJbr
QGc/5ouSiUhXAKOIm+bAf2RQcBIiepIW9ROHMwB96KGmchxX9TBsywZiKKwfIqmD6mkomAZJNWMc
5Eo3kQWKpSyfmOYQbarKGamwwFxy9UYsuE6/5Ntg4Och6JPXlm+xbAw7kRF17ZsdBHV2h7J9stUB
l2qWcq81GUoUJ5UDGPu1rEwopAjydGGuNB4t78Z+ULOmFaf/Ocu9nuUUzlV/XxEdOMf9XA8tv/Ot
HuKYZiqUvhySaAu+Cp6+10PyH4qtg1EAAbyc0970GBE82biQbIWz2jLmp8D6doLT0UJBLZLpPprK
ayDlP5jXC17ZDwc4RM8Yn5fwS2hHzG8XqdSbAxwlQoAlfW6P1PCkmZGCRe5WqKZrwa6zEb31yNR6
8KrSCElqmGNd2meN1bHhi6V6j14L+fC1qNejpsSy3cWD7JavhX+p1/VwnnMcKLUkugZBR7ARgwNO
C83c4CoMOUGkBiOgfAo2peyjsArsofARhC6iLFWfQ4/AcPQllTHW3U73pYyQLaUVaXOfheRXlZwL
ZxWancaYNGo8lVapsqf1ORdXwYz7cBNVqCbdtgjqja0F8pqzFUreHoNHXQwxRcJUuUOFXLpPTMUd
OGxu5MSsP830UJRtYk/m7GpNN5GIodpoMNMOnh621iV0M9dLCfxnSSnWTUhv16VasM6aJo7rXJTw
9YiM3ihYOdqrREuJkjOJwzkbOempm4q5LWSUpribB92GJ0DMFnEeY1iIHaxfTXb/84h+HQZ8KKr5
OgxwHuvPj/Xjz8+q/kZbQwwswhl9sVbbf7ZU3jyrPKAyYwJ0IjyzHBu+GRWMPxS80DYKxQVg8qp2
/Pas4r02ebAsTAccYBbH9j94VmkDvXtUl4VCxaCgLnZtbXmU3zyqWqhIQztl+jHMHubmOI73b1au
8694sf+CfHVeYOBt/v0vzlk/XQEHpqYiD7I4hxHh/OMVOp/xv2+M3bGbDVdVy5ep1I8pShIUZC/0
YInMrKN1phO+qUj5jjPWtq5ihLtI82DvFxtsDJtcsH018nXchR6isS9SitxEtU86AwdU0ybs32F6
pvSKgTmpbyvtLMiaAsMFR4CAD5GRPDNeDA/T3DiDbOzGsPFfBoPGpMYjD8skEmudPLcvlbrEqtCS
cfUG03XNlncXp9gN7ER/6sIx81pFBCsE+dVBYVmBEmidiVJIbmrVd/SMWEnUJU9P1wc6z1Qfmlq0
nlLD0Z7q/NDX0UOiqid43tEXZtMJFstqm+bFFtrIjAKyuvaNdKMxtLVCBuB43B8kmc1X0ceXLJE4
YuLWajIqqI68lqBsrwQje0kud1plPySytM3Lbt+Sc70yuuliTKx9PI+cUeZ6rbTQlYR49BUqHvKt
t4EtUSRGj23jE/8gdOxM1hZf9plENWXkAxJv9b5Jgj3UR1SJxomeIzWp1f401TgHZZpbl9XWJMEa
87b9KY5mxt9Jeo6wIHGambltBBa2UtvVJMV7XdKv21RJHHXWmOrP+lWk5cUqbMbQ7axoN6WMioyY
macfmxv0IA0CreSh0213kMFiyDA4uA17Lwzy/Ygnzdb7W73QwCAbR7Mx75t2Pksi/TLMiHjp/Gwj
9P40HOpdMQ1oW2OgnROJI/ZAA3o4YUe6MpWCbmKc3sLx/KT44tb0O6+ozb1FNo001g+m3uLtbO2N
pDX3BW9enbIRgfr8Ba8MMVeInXxmX8l4Ug4x2KoqALI24U1orYYsUuE7gSkeeAq8OIrvA58W4ti0
sSd1HbdN9TIV8dZaEPFa+dDV8r0kyVeNWJicfrzuR9BdRvp5TvwLSvkZUX1wwnqeQBGHYalL4jqc
kenAEsamggJezrLPtkIXUirDnq6pME6tkWz0KDLp0Zc06Q3zKrb1O07VAXmeRH2l5fL0xMOVrMQH
qYPaqlZDhaNlZLSkGJejRcBSN3XpARrJ4n3RGtdOSyi8euS7Q2MegxapXUR2jWxSOtuVb33mAA/g
ldIAxRXDeJ7vuvfJCZgktuE46qPjWEeISrGOrm0+CgdifbCqpSRh3FWEa2IJa9S7EpDBGVNG3vrJ
ZWGZGBOzTj6UJtLocCJipaoP5NSelXrZ7AjDYg6moR5T1KrZMoKNXXRaJ4RUAzdNynyjzAZUo9nm
SKQqTqenpVswHlHJm0zPRCrTtSBO4GJG07Lyfab+8/Sp9rVHkVRb1rfTGC7uylZIV5tS6cRPVKA9
qWKQ02iMqzYtsqvCgLiD68ZPb7skvxx68oYwoJ/p+FhZWVZQhtdI2Lt1UeYHUQkWRIUXLYaLvCP7
usRHzBq1Dyp/i/TOjft4Vc7tSRpLm9AIT+VUvk1Iv9I6eT/YfsqELHnQY9/AddOuBss3D0org1nX
I/G5HCR1RQdmyRSohuw6UbLB6yNto+GEWmkzE8nQmhN3jqL6dLaSo6aWlCbNhVKZyK6bxhnJ/nLm
wViz5O1Uxe/cQDPrXTr1N6ZUXoPFWHW4WdJ1U3ehOw0wFFlzuv0gm8VDrreYyiPphakXsKiOUGMu
h8W8NPUz/JKElUyJ6LeoxvtNrqPAYelnrFtxBQAM1zmcKoTVsr3vpjrG4RwccwpiZpqataOhHTp6
Ia6NqgC7rMcMwjL6G+tJ932Gd9W16SP2hIV4N/s5WrwO3I/RBQpql9FrEUBTGcKkpSdQrFJ+0al7
o7sjCYfMMWuKYHqjyGFXCtut3uP/SIbS06ysXk9Zcb943XOi5UYxYaMhiGgS+6SabuQwdvsIGWZR
hjddql4jhrQP4zT2u0KK63XhpwS6UMsSIivfo4KEcz/q1V1nEvlQFhkg/ZAbnRQnDtq+dqcuOZ6+
aoye1dFyjjt5+lq+PY3/N3gufrE9/0hXYQJELrMJCpveNmncoM1+3JzB96EVCOL82DLNN8Z5Z5jD
xVA33sdVAO7Jt2XGt+uQeU9yicZj/74IaMWM4D3E+Z6mp3gUb1iVzi3ggSyXNXJC0qHqKd32Y+ml
VrJt1BD6vwryJD+wUp0YILViO7nA/XZpgvnT0GN19AjzwH8uOrN3Jh4BfbaOphxQrn0/ev1PPyFO
RELRQboihP7xEzKyrohaO8mPA53CYLqW42wVFl8lNX/7NbxrIPP52GIBTqhYU/mMuNF/vErTJSWO
gK4/lgE5k9gYd+Si6cg7K/aNvqcvJ/V3ErLXi9zmHrTl3WBxOC8mCGe+BoclzrxQmruLLtTsK0z9
q64AaQySkqeEODkDT5xjFMExkqL96CNzGFSeGzMjD3taVAiGkj4mhA1gLYs284CUr1FMN0wjNBat
9iQx8FkOS9AiKyDOnDFXRaVtYnKbwX8SSzeF5q6a1edIF48jPcLOoB9BhtPphBrAEWKStrIyxKdy
SBz2PNKPDRQEAaFN+1GJgk9+p2TX1WCwfyjBiZGVGAPNst2ayoC4ji1Ogf01xSJxS1k9Yw6AyBDh
HOt9euLLj53uEcK4Y128tyTaeWJQtlOs36daHbo5MFcip2qStOX1rFN6jDxmtE0ADYxStq1b5FaZ
MgKl6x+TSA2fptTYMNnOiMYNTzHdo6ZoKi/SaPNhj7zMTDM92p3iKAg6D5VovvY9/vZ2UH55P/BA
MlNFrqMgev/xfvAJq8v5N07Qivqo2U22nss+PZoAMB3W04egwVzJ5H+lmOQzRK+98/SUT4VWY5iI
rRo0p5DinGFWT43CuqMfF3pNZlRe18kklRgqac0RVkSA5ZYrF3q2VdnU1ySQVGurxkCLzf9SRv1M
v7G6CjIAmkpIcBne3Ibe4ULKJmojm5/qwny0USGtegUtaZ2pN6Y6UTtztEWBskb/Xq3geSRMGsy7
2DIBC6lfTDEmDjFbN5adEv4wXsNsPUFPv6oKDZrhxB1CgMakXqFGPE3i8ApTzGUm7I05tXcWBHOH
ulF2cUVRC1a923QDmhIDeYUWEwDpEyJB2vijxD2xKm3tXtGkOyUEvli1s+Yi/vP6mQxQaSzI16k3
MnQHG0+KWhD+GfbopVt5ZVnDQdAYJ7sVmxTsAEKDrrVlCmmNu4ZJsjbIT5VWP+bCdGm0nyawl3B1
nUE1OxG56Q2FTpRFhEAe9rFqRxdJKSW7yZrdoplcM4XGVlLQoMbiXMLD2Ev2xVC1LygzfFQmMO+Q
UuG9SVYApdYqERCKYp6YZH5FwCNwNQWZqwcz8FkqVBRFJ2S5usTK3hawhgMpOkeGTK5N4amJdMjY
xcMBOoKSwktqPJLucntHVKCisGum/uC1bO+Q6Mp1h1uM1ENpgwntMBMYL2xG2IMSDKsGtB6mHwVx
CCGdg3UOnn4b5O0hGKqT3GIM3yImPkvLoSS1Ruz1gCx14oJI6hB8N2UEKleOt2E5nEoNp4SULCkt
cwtIKit/ODcNVxAdNFjHbPRM8mv0rS/621KWiN6VT02jrt3R10/icGgwI/j+oVN7sWqYza1E7OcM
xWhcUjdsi6lt1pMptnVPFSIKGuOCUTThQcpvtrYfR39fV+43T6r2rtelhvYU22XSQYwMnL45JfVk
NaKZ8oezpD5VOLF8vB/9aIX5+XrvdlI1DHNOF6wMRfEMVbAfgZec5MHdoG8/vtCSMfamNfD1SsxU
dRVDEDSDVyHhm9bA0ED2i+V+hFg4BW4ZjQjsfXWZ2RS7sJC458b+gIYWdCaqxVOrsgwHiwXDnBii
9MDfXTWK9AIS6WLMNTLvte4TatuzQhZXKeUbp55V26gLIn9c5y0ZjW30kMf6rYSV8jLogP4bGHI3
mdEdjFh2KCzciSHRihJvk7eauLVV+6qc0zWdlH2nMbrQ1MMcTDujtM+GJDjUbNtCws+tgnQGcSSF
1mosldusrN0o9XcMJJ04HS2nNbLHWZ6AVw/BfTXa9a0a+C0DMy34zaf6Y7/l5w+VSfbbfguKrZyp
rjUerfEhnD9P1v7jb+13f//dxiFLIJTMIJmANVzBEkXZcvPxBX6q5KhU3twV5rv7D2sSMmY1mI6G
eh7paLtbVwYT8/FFlk/hL1T9t0+JJjUlKTnl5vIi3tx6o2gGQpZ4F7a6UtundsioSW6iUfzm21g0
BW8uhBgW29oyu19YhZSmyrsLTXGE1m0u1SNlzBOb2vo69fw1gxgnWt06uXO7M1f9yedL0kg/je5j
6k6feaKbrbb7+A2rP7bMf3qsX1/om3dsQwnEPsoy0nr9Wl7J7njVbbILFOwuiO7aUzZ8zh4YIwd6
lQt9G13NMX/6+FUYv3oVb75c4x21hHjx1EL4Ox3vxp3qIpH07HPhnDW6E643t8bqxFxnG/uI222b
Xxnba8KNNuOWdc+ZNwVD6TWts7W9lk66bb5pzkIGlk6w/lQ43VFeTRtjZ+8I097WN5l39fFLX/Rs
b77Jb7fMX6vVuwpaUpsoLaWI+9IpnNJrnkuvvFbWTBzX/jpcR27uZftic/504nY7MoLGVbyHMbiP
j8GKzcfFVfPFX336+FWpPzY/f3pVr6bxN19rFBV9LUxeVbhjSLGatzgIrnPZSaDcOqaDxHQFeXVj
Haut+kAjzf34+r9+WP96jt6tNiw1MOrLaTzKc+GKYTjMUkI2mPyn6PJvC9ZlVfnoeX236kDp0vp+
TqcjNbXTD0/yuB3Mz5PmVnJLK8r7+F39+qv+/q7eHyYlkv80o4o7XBwJJ7/LMrj4313g3ZlPG4FC
m+SvHBPjoMb0AW2x/vgKv/liXidob+4LKSutXCB3PxblsSFSvVRhfVi/KRV+9zm9W9waJSWnWsTt
cVy+lTld2WO8+t+9j3c3WFfMTZc32XQc+nEVmbAPxtWcnX98kd/cXeLdqmT6gTTRnGM3GM2VbqN7
TtszTetWAhl1PKjI7P8MufnbG/qX3w9sMIarWIvt9/gmSyOpooza7qgTTQYtQAtp8m0+flu//Hre
XOPdQ5MS2itVoT4ega/Qv7/Ist90FX53gXdL4pxkoxYXVX+UWbRpRjMs/M0d9ro/fvTgLxvKm/s4
JEkFdBT3MWcDB0r2vt8mpxwRVnvQBW5wBrXi8PGnhnX847VmeddvLok6VYOaEbJH3dEYzllVAdM6
JMg8KifzrnfOZzKT2boNlzRDx7qQnMvWXXb18/vqXNtzagfk7U6ts81X4eZ3L++XG7mpf1+czHc3
qxXVg4yJsj0qZ8tGLjnNJtV3ubJyko2+vs2dvexMhxf5M4ez+mY6DM7wm9VLXZanj76Ud997LzVm
WNkTtcS6X89rzGro8uxDur6Ea3+ibbr1ver5Tk7H1oOaucHm+psV+ncv4b0CQBo7SWdE3x7B5zik
QKKj+WJ4ylocuudxW7rZidhIG+kluNdWuH/PwOk8/+Y++fXW+/2LEO/ukwTAqE7uMLwPb/RgMzvR
UtXtktV1vxt3OzxJznwEO34re8U688qNOEcOue7ccAdm6yH9zUr5qgH96Vv563E33h0ULYm0TY7K
3bFy9Y25MdP16M3efBIdFOcJh5CXrKxduaWpdzKuxI1LfB9fUbtJvKtovRQJfxYH/+eHRa55nQ0/
FQSWRUHYvvvf/74uMv77f8vvfP+ZH3/jvzfPxfExe27e/9APv8Pf/fO668f28Yf/IZktaqeL7rme
Lp8bmiTfptXLT/5P//HP4JDrqXz+978ev+D7Ila1raOnlpv/+V2oyLJKfW/xLlf58yeWt/Hvf508
JtxKv/qdb+oaFZuejs9OVyw61lAC36iNoWHYuoq7zyYghJ/4a2IPWhBsIDxhwT/KjPT/UtdYf2A2
oyfJdmJqBBL+M7XxuxWQQ8tisbA1aEfoq2U0Aj+ugMDA0XFUuXGW9CmhSEFW+VfjiKF+a6pRshmW
cIdp0a5yIl8HUZru9Jog4GU0tU38rNhlS0DEMCxZEXFqyd7YTZBel3wkLVNOrCUxaViykxLGrNKS
pvSKpxtTmY5fgDOVOGV7toCG0RlD+xys/ddgJhOPUj4OB9KnPMnqF1Zq3F22fbNT+9F8SEcM700c
Mswl1jGVi+2slZtBDS4rBSqnbIIMbNS4X+VZvW1n5Wg39jMR3xeRZp0xrdphkbyKmNxIRXMnBVZ5
yH3CjEJ7V4d6tGMYf5e22CGk8CpTjZsgWiwWFkpSPdFKKDzBPRScHVpSN5b9e9JoH2mWIw7sK04t
bT9smhDuGQ1sOg0autm6FHSO7EOlhb2T1OohadJjRYKaQ1zQaZXpjzBlz4jgemmX1gei5tVcDGQY
+SW+gkSssqLdGjacD1ZgW1FRHM+4fBMiHEWpKcwBp/3sS3dWvQhRdX8VtvGuC4C70lGeXXsKHZzg
I+gOnzbZUGwhH90naJrg+9DR1+rZC6Z0XgVl+NRkNE+nEhdmrkwbkyY/5YW2ySz1mJcYtoY25QxU
159KP9RdrX5BiitvzcS0XWjoEOYNc43S7EUaGxISbfusSrsKMEFE6oiorq3aIqacXm1i1BcpMnC7
r3tHJyQjbkuxMhbV7ygH08OUg1oI9C8CKtIyvbQBD8/3el3uiUp/GOX5orKk675W7oeS9Ny6DV9E
ptPpGxLbLZv4mIlpmzSjTdasQnHXDc+kaJG8qxgA18vAi9XuaQpreE2G5ok+eZoQopEpVRO4q0Zm
87nHDnAC9woAfNYRXNFaipGuB2PSN7x/YsMnBTGEb0QdIchZPXHItQQB4hmrwRohT26TusIvJ8sn
PufQHiO/hSTcErshkSGLkZDpMBH34Xbq5bOZh+FismKxSSRruCiBQ2HbV/eaFmvEiKH+rPidOSql
M2CPGnEwcuFq3G3YiSomEYkyycz+o3GXwZ93GGdGe8saZ1RyxoD1PmoZrQzECPW9x3z1yZKDM1KM
C7yCyqnWVQCoscBOjYA7ksbHyizRxSi34MOmq1qRkvtcgbqrVllzroGmV/yaZJeWGxJ0S+LmFmd3
vW3RJjNe0YCBORYF8SZT0YWIHNSAMjCUynSdtB0O+EKaThMVkqWdq0gd6pDhryk7atR8rrsFCVzC
JdTqXW522iIl2QMvMfZKAKmgWBylqpXXD6qoCLXJrcHtYIg4egRgMQ8FocBZXXoMuciTJ5PuqVLU
uzjLfM9u+NmhHqxNPiNKSBKmM0UG+bCRYnnTJ3AEFHX5fn2T2ZLuHyo7xE06HFHoxoAYun0M2SAc
eNeyRBUSFAdlooue0bsqbMJC47lGB2TTHFxA3prV8Q1xXCLI12vjcPKynE6METG7jkkIJ1X9YAU4
iwag3JGR3Mt9vemk5grKY++kKSYCJCduriSnTVcHiGzRN5PDvPHLcmt2zUug+RBDkXutMZfxwCZI
o5FpZNdZE6cndtjDxlykL3pkw59hVhcgXAd9djuZuTfo5aHzreexUBUHycEe8RPQLGXcCFP/2lT5
T4WAZu6DCuEqeq5/qerjt77XCAt+GBcltGADbdsPLn/lD0z2sLJoJ+rq4i36ruoDi4X9X3DTL/u3
YfMHv6n67D/4IxCulgm5ysP7j2oE1IM/nAGoERD00bNf0lOQ91Gs/FgjzMAqQrWI5DOqiMjxs3mJ
ZX4ogi+wSWfAxDz/+Um08EmjwVZPuJVZcrG9mEBMu6r0UPJcpsBNAd2u5IV22iThXV4bm6oUl1pu
nZYLF7UR95RRaIiWmHvAqa0hGofZJOKgoMOwkl+TVlY5IN/TVVUp7VqOynsfFKsJktWYYhfTyOMc
ssyAbFV1CUo3ENfQyF1aFWKVkFrZdFXmxABfCQfdDgsBlunc+QgSNkboTibHiQ0qFsVk5iTAY6Uh
v63q7hNiF9RX4GVrW/JmcLORnQiWrHJT2mCKYQMxNsVRAZKEARe42jYqnESa8BWRQSIA2tZNj/UE
xG01qGzC7SR288K/HXxyK2XYePEgbTExIN+ho7/tpGlT6LRNXzG65uVQwvxqs/omBbSbLsRds7L2
BBfeyhnrx2JbLOXxNFgovUOAfNAA3NsCSVyNoHx1kL6mTY+wAvI7KV8akL8B6N/JMigwFhrwbA2I
/RhIp5UGvIvM8IUcbBvKzauJdZChCku677ULZxh/mgk5YYJPM20YbLolSOKu4TMLAijFw1dicYI1
tT62Y6uEri/iYtMakTEe2mLZwfRSbneFZQVuKwh9VghvjwmPkWs0TJHObK1ptNZ+/P/sncdy3Eib
RV9lXgCKhAeWU0D5KhaNRIrcICgaeG8TTz8H0uhvSa2/O3rfmw5FM1h0qMzP3HtuNtSkE3Sm1vlW
Cv1+NemjJFmdWCpEUwbG26iuvWoxH/U1XrdSfymipkbuQpWi42giiIX4aXar/ji3L6jxDM9N6/cF
aEFllfgsv4hEWBwIJG/e2nOFLUu3r5RIc8ilrHgNgSFGiT5nk/FYOBME7Gm4w3VP3LQCfN+ozVcC
1981Ob0BxAQOb2f3IemDS9UHzmiSq7TVjk2hxGtsP/raMBd7m8462013RtQ8OqnZbXTFyNZm4DzK
DkBRZVgEg9rja+to46ogo4Inp3PJ22kdTxBqcM5C5Sp8zGDchORhTsmrQUqqmfO8FPD30/loFcU2
KaubQQcPFGGuqQy2rhZZaBlAHdKWuAaE9RBAjyOfnUg/Fr3hXN/EQeZJQ2lPY/sIhZNcMElGBb7o
OfZ5qQlETuorRGpjxs9WihIh7WomjHGjRVB1VN/2sgz3aRQdZ6u4mqnUqAWAPhkNUOUBClIt0+bl
63H6770Cm+Uv7pXTc9u+/c7ZwWd9v1dQi7sLMl7Xvt4CP5EYgTQu/9thAbdgGul8v5MY1Q+0qoiT
TAAxJgZZ2tI/7hVE5xavSAPKWAolyff++/rbdOLbSOD3cjGouL/eK6bKN2ZizSfLBkX7L73n0LuT
UpXWeMHA3drrCCRggrmJEyGUMQR0LTh2c4oIWiJbSu/VXkVzw5A17vbVzKp4GkiuPLXSHed1Mmnd
vEZZV2C3HgvdMl8mYrXAIVZNMK+7sOHggUi7m5Bwuu+uyNXuTrZt22yQaxuYlSQecrJRyuVZhoWL
eaK2Qm1GsJuOeBxnNFQs/vtwUte5Fjbz2rDVnJ2l85WLmqrbXpCBvG2G0DA/ZaoSWVhDmz0GFApZ
yGKQHIFK7iZd9sn7qDsTDEnosuswTIAS6MQL7Xirhgdw+dmXOCgs3w1HVVnJSg5rJWssIsJi+r6I
A1vk+BYHcL5fhkWoMs+5vu24WnGm1qGxNWX0bo2KscoL550OGodejsDDrvhYpSQoeoeeSHm7HI9R
WLXEfFKshzG3HMljcLYapfhC5hHaakTejZ8TX4V4XSGYZAk0U2UsdsQF098GZMWrzoKNncvwUDVK
dm3ILOIOV92tUxVvqY1MVs90dv7RYGxBtMRrQTwP4wAbXZDZZ9ep6FsP0x8RdKj08roe14A1mQw4
+ltEwv3ObDDd98AWcYQa9bop8aBiTf1CGGm4s+as9+janG3UNO/2yDq/0mi97ZyBgj82IdOuTrO3
ZZm3B9cUia8pUXLme+a+Kq3ykKL2iftE+MxiaCXsUd64bmBuR7fM0QLh2izHPKXNNRy8rNxNxdzw
bTr656xINcrpJIQ4bxBVuODiSnvB0lUDdUqpJ4tRtb4JZU3OWDh2N3ZMpztLtVa9WcoU5Y+WbWbh
Tut2wGDQGlO1nlS7R5IPOSaYinRHXmYEmifJd/8em9/scAzJ/2JgV7b/879F+Ja9tb+Z2/Gp/zk7
ccVR8jLeQq75J0K4CzecqljnaGVO95+zUzc+OByqFmhZQS28DOf+c3ZqXw1zHKumxpTN/GfkLeZ/
P0zll+mfIxjdCfQG6PlssXz8h71F4ti0sYWbXMHen2GeBtHWqB9++MX8/3n9o9tGc36e/X/7KkQl
okan96DP+GX9UANVwvtGxFhXJnHml44owH420vECXUvXid4C02RmcrJDEj76KiJ0aw6OA2OtW1FF
N1nsbDUzik+jEMzkVMX0VAdyHn4bVAkhs3Et3/dDdI4Hd4dp/STm8aaV2rmeSwIo9Atev4NIyBPN
BwrPRNTuxl6Ol6BH1hdr7qs6ReTtpKhpky6d6Jf7d6pM6FmFxQ6+CUCYMmORiEcVdyXxLluHUZnZ
m4+Qd7uFx5EsZI6pn7k10q4gAFIz7oOF3mFnpo4RVUFBC2FmG4s0QsNK0Z+tEXoDZShV6UsHVgvG
lwUCglugI8ZRRzgsW0kLvbBCCEKLolWnV7pzP2u15Wco97eNMlvmVi3HCaZBpXLp1iCc8k4GKwGw
5uLUmnLm9St/CcBI2YAcS6XYOnTxPlGsDZcABsgGxspOz4z00IPqdq75eq3+ZMrQJmVJlkPJNarf
Amgyp+tIXXzPoXSPbmPZh4GRw6MgQPthsAENOpkkb7AremPvAGhvsBmYZOQ63MiWJ8bWJaEFJ7eF
m3CtoPn0tWoi/6VHX1eHaKQGOJZoWHt73fE7J2djbp9bBriTHOgXJkcjNSLeKxoGcpakZHnhmLmd
B2YpQmZrt1TdW/DlBM8mZLc40gV5X+Vg5VPDH0oWPXX84OSgMvnTDXC/4nndQBRmwMu8aMqm+GDN
eAZsRlFbNIOqV7jB4q0eNMTcdbu19GE3GgUZE5PW3qAwVrlh8nNcZOehadFyNPGNUZp7J+oReFjZ
Dn9a6oe6uG7d8Q6/wvApHCbnvcQN0Sapb42T9V7GPTV366dBrX4UCrA4q8MEU6bExeSb1GESNDER
Q3j82rbdG/KJN0lEV42mlGC8g4v5iwOEYnzeGpM4S2egKeh2GGpP88IUaoYvwuwZDSubbFS5f1C1
9/Kl6AF7lC+B6FV/tDKdWzzkmzCHR9OKv2SzZaytNm0PTAWhR4zzScu1vR5qZ6vqfaJAHiv+fG2n
Myty7HUwWEDunB2gi8cpaNdhDiW4FjWtbAgBvi3EPjHVxFclQybbvuZnvMWUgV46nkNmwNhwjEHE
58ggrgp7102XFe0Z4ekx1CYe5k7dZjXMpDTgbnRyeXR5EwmUsRrK88lxTk6ln6C2Pihz56Wmfddr
4Q2cpRP5AmBE3VPeDzeRywRaq9YazT7V0rTSJK0zuk1ktA1p3GEjrlIlfSpT9Ymst0Pcpscyw6nW
qzfzqPqZVvjgLM+mkXh1VsvjbNvUYhQJ+H5eahTO4Id8t2HaGU00W/N4AFgkkaAXxaEDKppLCG9K
VGRkdQBJMSc9hVJQbZG1K7ezVOq/2XgiKfzz+Y6TEmgseY981PnlfI+kCg7DyuKrsiZ2aMhcubYH
mfp5PmSnLgcIZw/BJoTJQtU0v6lV3d7UdSo+OrMDiHyabvsmOYkp8FPXfhBTt60j6x0aagioFOFr
mJAMw9R+U84801kQe2UAixvT2Yy/hxQI2+l2QwlY1Z57L07ae43w3PWgdqQkQR6F/uuNtddOe7Vi
FNIhl1WTBhbscJ3B52hz+1Vm+V1vJwe4Jse5zQ51r53sqjzhZHO33ShLv5XxTpsi02sHiICgJDcR
0ewh95LfivbWkL3qVZF1EJHL+xpn9CnoVMJWmukTri8DAjJrBU1qFyOeC6LyLOJy4/Q8VPNV1Cb7
dDS35ogvIAbcERQpcnunIWcSbgVxAWszrE5ZmOMnKLRLnI1EMeY77rUGAjG4qlK2mzJpLmmS3Ro2
SYJDMWS+RScPVI9ir2muY70d2EYvZGhS3AxpkFY7xYSA28d44GGaeEAdFitkwb3CUN6qFdYAQ2XW
JP1ctzz64t3IOaS3JYlU9knUgkGEq7wGWAFWlVavGPBOK4gi6l6plrOsO8W29VkT2UYIhhYOI3mZ
a6rHJCYlCyS86LOp+kUEH8eoEmen5UkPUVwfj0A8mnNGJbv/6yLh19EghYhl2EwagZOSj+b+UiIw
7B7J/sjjK0LKGBEcGrwAf/0VFoHBT6tuHUkl+0mkprSczkIu+LHUAaNWwJIOgYQwFlGsS9zHu7i6
bUZy/poMnVC9cZP1X39NGtC/+arLz/1DgdVXaVcZuqKchUScSGrcSvIPbsXPdHeguF0yNTrHxOGp
E4BUpAyGOjLMC+wxQotLr2jmz6Vin+LOEB7QyU3mjuoXJzJsPxfJJwtyr4+y9mhnxqMVpBMxTLrV
8zQV5bqf7WLtVAoe5mpwPLuQct9Ptv6lLBK4zfR66ziOXzKeVTRxVuRzAku/cyzh0VLfYUWcWSCl
n9iIQE4P9etIdq8sG3ZcSh/him6sdmxXmpnsdBEpLDCpUOBlFls598Krc4vdxAjO2o6nWy0qGDzF
g1frIblorjzy0OPCG7VVW8X7xlB2rBs/TnPyYIj0YHYli7iUYi0OdHJKOqDIVm/u0zk5snH0Cxkw
j8sEAuwg5ZQVDwNo6FWc5BiUp23RYNAJZp5ggVMoxBxFb10mubOq5sTxmyw4VzgNQ5JN1dKaPSec
7mAsUMBVyse+g+Gs67gtAJVsGc8RR9eXz1ZYnxuRL1EJXsM8ctWqIDYHhfZZ39ksrfxKVT8VMtpN
wTT50OuuMJIaflKZe/q6N6cW5EstlkvT2IaVcbLJ+/qbx+3vnvGlEP/haRsNSgxt5mlLTsV1eKVs
6mN9P25x0O2sE4TbyHthFMjy61w8jX+jgfpq//nzG2zZMFiaBshj+eZ++OKwH5widQzlXPnmqjhp
XrXpIe0elQd7I9bi00XxTg/DOmE9/8x/sit5EqtDvAmu9OpvFVk/X3wcILzbdZYMJinxtFG/Cluk
GNmdqkl0FYnrColZLB6a4Vvr+5NU5cfG5ucz689fgwHXjz/w3OS9EkVZxOX6FjY7V9789Z/ztz+D
jZbCXuZojLh+fv18Avgj4prLW7muGbU2JjXntxPq36nn8nj+9/b9ggMqfPtz57581g+du8EvnWEA
v38VPtIfihuyvQBj0NHSopsmQKE/Onf9A8JMi0oLn5xKr8uHvk899SUUfJmS8rJMBNCn/ZOp5y/i
cqoXZv+8PhljLiwL1fnl8ast5mejLYIzIc/RWp+zFGFD7wZHZarFsbBbhm2KkP2TkUSHOJCPTqgi
Q7STF33gdldG+PE7K8ryYV3rmM1EVTM1AggQelBbyns6Byoh1RUttiyC81YM/IAvjxX2MoNS740Q
pwCBQ2Eui2NkFwWpCQXJh5uoj5N6DWgUUjIYrGEDy40gXLk0zy5ddPu1n07jit46WdrsiZGbwiEM
cJsW3IyDYRXRlWPkklSXNOqKnribbGne8fBxbdLPZ716qejvW3gZM/2+qs/Yc0H16crJKLM9Lqf9
FAdE8Fi4vOdlaFC2A0G7gDtP7Ea2olKuE9xEt1XgHLtl6ACCHEKY26qnoi1pXhWyIKTFLLlh2En3
2F+mrr0oKeacMWRSJw1AZmU5rknUsFh6WZ1SebEum/dU7+7iTNzRGue4ELOuuFZqktZ1g1AWNplh
ZUWfgS96dscQBM7FeTAyIMkl0pM2TDytgiqulaAbQE+7Us/vFMscN5XDftPG0uo3Tb4t6mXckVnk
kmElC2bb8jW1iC5DOBKUWSUADMx2001KeWvB6nCtxSsncZy6OOgrjVDlWDmr4LkHC3CJ7CvjU0vA
mM0+czE+A+DCd8vcO2f7NxPNU9nVoxn0C8tAcRmbFxg6vRYf/PaHt+JvBka/OfeWlbMF+oWCinLj
53OPOmIUWP6TKw1j7kbPRu2ZysPxRpkyN/r6tf49/zRuq/9+/p3L3/GYl8/54fQDjWljktUWWOly
+nwnBLEOssgmFAbDR0t8Xcd8JwQtCFOOTOA6xq+EIHshBFFhAwBzCSr8Z3NLlI08BH9UG2gJHEIS
LYamnLY2Eqhfyvl2plbtzR7Qh17MJzLtBALr0olqgyRd4tqWMIyeXkfhLMt8pwvs8gyPkTxxDidO
kM4U2ZnwKkEsucbbF3wObw7FwNTeG4m7DhkMFeBgRpP4m5FQ8vBh7HOlIhcmNBT2+hxm1b41GliI
7mBa002f2NrKjpQy3BDWrkDWLx400dPnGfquK2xn1bZDt6oHujMS0WFUhEq7CXoAQoV2bgqLgWDO
3EiK20LGzUpVQYeUhMMAYTgWdXBSx+ke58xiYS8D+Hz5tq/2WR4GpD6xGoqtJPYg2rN3mexxFTvI
xPpgpuOc5gd8yteqQFmRofdS+pb1MCvVFcUH/urcOTSFfNWmbvLjfvjcTaaOgz475rEw/byU121Z
yM1oDTSbnEgeIaidp9vz5KcdmmF6G/L72CIh1NLWTJukz8ykxjM7vCrGdMyUGFpLE0B4D9TXaapK
ppQwBERNnm+debmaEUurcXYiBmQkC1utHk/wB3pviAeNM1a/Uwy2vnaPRjwlnFXJMbMSzLg3Ihyu
k1FeJVp5y8qHBNfqCFfGiyayEQcHjbVNhl+ffTEAW5IBM/idLkjcSv0MBrw3VOHBCPJ1UznWinkj
srRu4sDPynTjcGFtCGE650Rgb2DBMglhMqiG4UNf0LcRrRRvdQkRRLFC1B8MBQwXQ3TdHYZ+QIgg
mocQuNNqxrIjpXrXhdOa1ETotBO8tSK5DYvhFJu6n0LXYBU+x+vAlBmbeyXYNWkQeWJyrwU+5bVT
629lprY7tSpbIEjllakW3TbS802hp584Te/zpIbxUV8UIIvgHtkpGQBXPSdLQFbn96PtIHZAHCf0
R1FBGbATczuM2d2UmlC6a27aIEIl5jBIkXh0eNC16MiUB1GoO7NTHMeHwtZ0P9G6hykY71Wj/Wi0
2PXZYW6LyL0krekpibMyzO4LaTLoaotx9Ho7rfw6JU3YUXPs9/1dkJAmUQLgZgAe7sPWCHd1x87f
mh+BgT4REkmicoz61yUvBsGmoXqG6D8NsbBAsTK6Lq3ooCjlQdjuczE72A/DGk9mqd7R/G9Ixv4I
nhc2EhkDIl54W/odYHnHdyLSQvQJ0UNknGO7UjxgfZspzh4Q2BZbVKrPeThPO/Ssu35oMMBEjusV
Slr4ek6YctcVjwm3Lr8fxunZNDtHV0gHOoTYQv5tlnTRTT7aPKRaZqxZ7ljQwkaSR+VFVY23JkO0
Wzb1VWXbsF6D6NDkeoYGanpLY/c2AZCzsnT45WqG4qOd5fs45OxnB4aFkIsNjxWOgwJwmYbaTAiC
rL+j6efRoYZFtamUPACx9GpZmp5BDHUaTs9W1KHYR8mxniz33Jv1WVWMN+JJdL+c2OjirOSB6uwN
zcZ7MxpHgjx2ci4fCzskqTyq97bOfL6a1KNo6mHjQFIHzmzdGpNm7EMWwnirOUpULTmrTE2J1NzK
LjmycLpJmuCYZ8k+6uq7IKrfwYS1fjE2J1kGl4XWUzkL/1nKeiWi0GKnwLnXxCXv3Exf22U/bpO0
fCjKTnr2CFU0awPyuBAyjkyQibEb790WsHRfslMeiooXj9PHCZg1b8eJPNVeLBvWEpOZxixdRg/a
+DY2sPrRleO+lMYxsvLHSfIbVd3+Lhs7jVl2ef9VU6m3yr1GfFUUdpBWU1uAwzb3oi2BkBpPcyPe
B5WHoSqsj1XDH4z2W/fNrIODGBYkxef29ZCk4IkCdaWEo8JaabgylfSWH5URenSZ0bBuTGOZRAwK
YOrMPtm0IwTYiT0Bt7GHpnLaG6N5p1XB58hmfNlk8Vs+tiM0JfQ86jgXuzYdPkGemD0AFsA1GKMR
oftvlfRtyfuXXeL5+fXtd5pL9ccucSEpaigaVQ0yIh6IP+okAPEmqAJ440KH6W7xoe91ko3mEu4p
fb2Obe9rHtP3LtH6QJQFMFQ+gaZuaSD/QZdofLW+/1wnUYlB7wF2SHQG/efPxTS0HdlqnRpeAjdn
6cm92bVmscpkc6V32UOVKlQCqMLmWB5s4ve2RY4wrOwh46jAvAducddkfja2HpqE41S6wWp2k3NB
YjRsROVmmeqtutKJ2ctk98Kl6ghi112jFHtR+4o8JgfTVx/CYhkerSx/V3lPmCj1VniDniw38xVW
TPcMfMWuYMYf5mPg2YHJIdOp5abvmX/EFFyhqj32GYidOkY/0+oGqgyYRJupC96HsX0Dr0oEBm6K
tUNEo8cu7q5Mo5spLKAojPeKJNrRtcLBK032fqliHkxLMf1+UaFVbsR5a5dfHDN5gfJ2lZsc3c3I
j0giXbpuK/Ua/jkYuPBcVvMxoXXbJo0p2Ktq12aSXItCn1YEUy7As24iss9wtpZRDdA3xpegTRC4
qX0MSstBqBGZkKxF8hFk/XXcz0BIRFfzI/H+H3P3rs2hsOTqDddnw9Vt5L7izscocw9RN1ENRoLD
MGpXRjfsQxXOUViiEEccy/Hfm5QsCPx8NxLzpzYti50L/23dA1bElNHpB/i4CVH00ysiIqBuQ0TI
ZSFQ6ueJs9VHR1kTcXiyanVfG4QXyj4IbqRSlKuoJsZUhsxc3SwHLa7Ellf0RXRTWsq2bLDAxDar
jvpJgondtiFM7ayKOHZDO2ZbZGzsoqkB26Jdsgo0oGE9r227sClJ85fOjXBGLkFBpGXn66xghDrl
wRP33N4Km+ocA6PyeVHpE/MNtrCYfEH0UByo3XoorPagafUt68HItzH2+Mlk8kD2tkm0E+V3AyDR
IxLoBZqhvqraniUOYklA2oXLKVvauzjRKHmkc8b64frOZL011VCuma1cQTkvPL3jUWbzN/nhEGeb
KkS9oCrWHfGAT4OdLomzqABax852XTtlXhuOd4oM2n3AbtA2FoB9HixypQJHRz/wGLv2dSCw0tRG
ZuyU3Hx0E+0LO7GtraBc1qb2rNBv8HumiDXGwp+j+ot0jeUmBNLnF61r3VCPdsaBHl5F3szDG6+n
5XbTx7eMy24Kec9rqQNNbrkJJVeiXO5Ge8wfx+W2DJwY4dlyg9amvJ+WO9VablcIeeSJct9C7ZFe
yhVMcuu4HbmUqXxwqiz3NCGV1pGKoF7Vyy0uzeLjzLXeWNWpX+75vizeYy5+TY/2heYcBwckGIXB
TIGgUShECuzApXIoJdInI0M0kDfGrSitwVeXSqOm5HCW2oOV4b78Wo2kfONuuGspU5CRvVuULe1S
v5S2sS6JyDyUinzWllUAwm5zVU9E5MRysA4wQKlcwinovcTuugcK3qHcTFFFRnOkNOWdPvbtPQvP
kf21BsbSEu3Q7PTYMZ/CtDQPXVtl4XUWZqGz72rFeApCSwvOiYm5LXfTzmfy9qCyv16bE6pfNSAq
I+B52RklzJgxwbox8tytTVDpK57Cx97ooZIilUNMsovQR4NXwlIxEv61Ikvjxpnny1T0YO7BqkLv
z68zGCqfepUTLq9ijqc003CrJO9hY980FtY1RnobGbckWUmiWO1FFO92bJ2H+9os5w3v4q0TwHt2
IZ3VYr52jfjYpxBmYL0/qwuWtizGSzLmt+pI/E9HdPSupnnjWQsuMhWaJ7uUoWKYTFDuRjXdFyUt
dqsXz8SKMIPUekDzFumuafJFc0ZOg4lOQNsUNePD2QF0aRi8DzMmkyBwPorpVKAuydOdgx2qmLfs
5LbK4FxC0tY2g0zeLT06zHnH2lWnt87itcpYf6U6cLEQdeNcyse7fCYlKQo4/Zo8D2mHoIVKVO6r
hCzUroSYLY18qw9C9fIRdZxm1bdxYqLRbOxTQKZn2QpS68YRTRI+sDrSrgyYmr4ZKhvgTq3n2sU9
6dLXZV5fKVZQeCWa58QZXpLRirbjlB3HaoIpOnXHoJofzBp2TxVfpImcXuusQxWQ3tkn1SYGkVe1
zhOaLxpHUYZEcZKw1uNvLPQYHjC72EKCDkLAQANHD64Zb9ZANuk4c9jqTndMciSkGPloVuW0aazm
YHQOzXUc4Qlr7L3LsGQFVHGVDoAblfguC/LnuoeUiXYw7eRpKJX7dAkhEaS6NH3ZcdwMm1wN3xLX
3ZljCRWSjwaV894NyWvVqsdci75N+P6dui34+r+Yuj038e+k1nzS97HbV5vv4pFhZ8WKYHm972M3
DZsvPGxyd1xMOQD2/ygnnQ8M3fDTGKShLWq+H6TW9oeFrs8ID3vPAotU/0k5iWf317HbAv+GtUTf
w3fBC/5cTtJ/4nlQxHyBUH1fk7vtZSy0F/AeW+Y53xASuFV5iEzJbGVy7xke4RPs2QzkrvUxcYyz
Xnb7PEnW9eAErW/bOebGGA3Op6x01XWpiZtQKZp9x0GIVwHI7BcNRxnKZ1UfoiPAtHxi/iGClUWQ
5A5qcbzO+6S/EbgFfbibd2O6bHQHeXFNMuahfPlVxMChnsqPUir3pVl80imJVoIMa0801BeKvESx
c1Bt3ZdR+9IwBSLDeFyFibitEu2aY+FeG1pijTreWUG3aENIIu2D4l02c8KuQt0EBm5HjX6e2na6
gBB/rjOKBRPAmC/L6BXY7Uw0KUInd3LWoehoqcuIsRKjR6LsFUPux6lUPHyVR7W3L3rKu1rFANHb
HrkFNr7QaGmyh2MzVA+RcB8VA5Cxk+k3admugYXdpzFTzyaZP3UNTN1era7UgLD4qnzXhMpCOr51
+6Ui1fNTFeZ7NZf3adsflXJ4Fw0lqVAkTEAYJlhDMQ0qStqt9Czd1S1rDT2yPEXiggmYaXomy96L
hqIc/XGNaKED2RmVxAa5wAnLBGlezjB1DRVxZi1EIDGZDC9wog+FjhWYyDqxaif0dY7GiaXv+r65
BFlDlcVU9xzVTV2hdLf6fNuZ0D5XZpbv9a7x2tYknZqRk16Ssh0VZGaL4EsKxTzNJgVrFYVfMT2H
FqBvXtMrMyxVJdlPY4SpM9KVZ9GwXYG/x9maIkHCzC3T1DkzZ4ZMLdp+o/WRdcpGncCRYglfRQCo
dTnmTC1Eg2i7iT83/S5ipuq1FkOebLB9h2p9i6KngxNbW1c9clVbMfZwMe+R8e5Er92PA8mnYFSF
37WaysZbS05YDCjvWIKsIxP/UDAkygoXjsHAWAm2UlXFVTXp2k2sLfVpOmxdQipxth/ylDHIVGvP
LL9NbMAyvuDfGzFaGRvp5Ju+awnjlHFGdkzxRbbQFof4cxkq5Md1DCQi/p5JJrOLgcMonvJ/tr8x
BS4M3SSzg6SPJdzjl5az0skbyxRXvWQ5aTyvpsmEef/Dufn3K6LlS0CnJUdNcEYKJG4/H0OSAMWW
baRxSdsvfXotq4+F+2+iNGQGHScOZ/Z/v6OWzE4/fgvLPy/Hl0/8fk+p1gfhYJEhqIG5wlft+vd7
ihwYCHaLjAuOwCJs/+Oe0j+wuGFZY6NqYCPzo9VU+2CyB1ncKcjA2C79s7jO3yzHF8H91zgKuL+2
WLQbP4hRYvIu24hI6DO6M5zOwLc7WKW9ZaaHPM7HSvPUYbYbeAGi0igfC4TLPalt4KDDk84qh5jz
pekDHyTqp8TOVPV6VNsKgfggK5r1oXAvsBTmQ6j3WbyvO6l9ZJ+mmHu1FY2ycl2lu+SBHhxSaQn6
uTRN1LvYdjMDHOSctS9uEVrjudErdB2LgW6wiuyNzQrz7SImvL43CL/bisRRN27txMNtV8tubwAG
h2Y5E8K0Dpbt/mwgEGcpHImjtmz/m7qGcFAUI469yYVzWzfdGkh3fDQ7aZyCYK561OqB+9y3TO2R
aQaEWtkGlybr1f460sxnrvQnOw1fEoteHJsftlDLfKu6/A3/J9LJIa+NVySRHkp+T6vDcV/Mwtx0
qdI/jRYCr0ETceyNKcpLx0VhB43FeVCVuCKxYgxeptgadrQN2h6DFIzYVCMTUG0It6v7aT9XVb01
TBQFzTAD10+hl5pOhTqLHHSWbXRdUVv5FithBGgBy7386PQu+ImgIY3ZNOd9arDpQNgPaRrbvR1j
121CPJE6VARkAOy/bZTZleO+OUakbJ1h3mWqe9E5U7YyGOHDAUAjPY0dAGaaz0aEsSsdZ0Se6O2R
mdPCMeXpYD5cpfrUeUjfJs/NzMlvQGmvE2SWFxGm6R0tmX7LVVa8JcJoDnkdFw9sNEhMi+vXgtjq
byqsfyvrRVn530+tM5U1i6/nPx9ay+f959DCz85uGhY/WlOD8+eH4lpgdUez87XoRnzwx5llf+BI
UlWbdTORNIvf5n++j2ptHI46hTieFgNrO7PVfzCqJSXu19oaSRnCNWbJOr4g7rWfz6yEpAnNnrXo
kguAEedI68ynSRWRszebogjJmB3Nw9zX1pMVGSOCM6WAkjJOyvjYzHZ770ZGeee6sTkDMO7HcqMX
dvfQ6j0hCR6jU5Y5CYyOWLnHOoylJCRkO9O01NMm69pxii1RBJd+sD6GmXyGQPqsRYFBfXBrtU6+
Diyx1bI8puxj2qim1noaAr8new3lJLHHLQSSsBlaDkz5nNYEQtRjM4ImD1ukkoWBHt6B9mc5m6wY
wFwvC3GzB/ccNsSIolipcnZKA0jt2FL9VEf5HYD5dRro6wPVdFHfVbr2FDmJzlacCpcVLLxwbSaR
L+aEwqeC+tswbxPLPg1O+1kDYZhypp7ypjz2EWuyOtAc32htQs2bELrKWLFNm9Pboa4+1cZcnfWG
oPG5YMTQLJCbJpcE8xgLFyVjJ9npmFWmIsxOpLiDFqg+k481wBMW8KlF8za3jYRCMmVrp+13cA63
ws13KrMh9n0J4xfXMwyUOoz+NzTesGMSfgcEco3sfxxzFxf8yximHgp2eV9E6StDgBsOKN+pshc1
jT5aZYcJqEs4xs1gD7/lJq4Yaw8mbH0YSsS69NYpxIdG5UvgjGV9NBoWiOhcX62yOJJXfVtJBxuF
cJi3FLa9YsaZrMpwOhZgsDsxciGWxTaLAZFrRj97HeQAgC73idWiWocssGFOtAaCf1eY6ImUkd4l
Es7GqO3hql9G0PAPnW7VGPsutfJ77DaciWl/Mw9U4Cb52QXAglWtsOZKZP+pkcmXYBj/j73zWo4b
ybruq/wvgAkg4W/LoDyr6ERzg6AoEd4DCfP03wJ71C2xNVL0f91XEzMjEiwAlZnnnL3XRp8a1t0C
boRn186DJZxH20eHRhmFwAHFw/xnqPIGFoJX+dM5TSI6kcJz/Qsva3FlyO6YusllGq3nyKLrmZOW
5NVDROuU5hzatvHQWrx2mhkfC1FwZCdlJlScBwXFBqjlPlpq8eAvlTrykj65MsvsrLv1wXCti2zo
wLYzXCiwDQQB1bNB2kpoivusRbRlFfa+lNZ5jHqdqoWCysVSIStKXr+5c2L7s6UMp9rqvgo/uyOQ
cKfZ1jGWibZTQ9sio8VlAFvwHHBnfkm1nq/YhDXVGVJgLLl15sNbi7YPH6saGpamZmfhaxdkxF7l
Jp8VxV86hasiPYHZkunZpe0Kh4YSxXLW5g+h5ZJaM6YCMWCeHpS0KwmeYuLqq5a1tLPsBa9rsm7H
9Fpr/MdUKcYllm+8y9gKXGc6pnl76jRSaDrjqbeyF2rgPbSOpdMz4AVekPruLizbc5OqG0M3tnqZ
Jh4EAGbNlrHIDSf3EG6Rt5rMrgXYVmZIclOrHyKtzq+bIfGb/SC12TCTy0UmyHBy3QoHU+w8dFme
Mt7IyK6qcI94VarC3m7464O8IIRuMMRlGI09OlntKuSLteSZm+fcpp4yJQl/dIiHh6nKgxuiv9ND
bCB6aLkF6z5V0q0GOwghDYU/gBA/YIZsteG2VXRc0SjWiaEoVc1TYj/5d6D63+LilwPVubg4dlHz
/86faUP/rMT4cbLKpmpqSMZUxyVO+7vdGuoAvS4d6avKu6jSpfo2WTWxx/Izfxpn+alv2zWmWtfm
x1S27D8Kk3+wXc8FxI9zVaIpqXIMBMKkdosP6tuakXBD/RucmQgsYHNE2Ni/O8H8pMb9OLvlNOA6
9Pto3GHeosaauQvfFzGZVqhumY7DVZDYO87mrjcIEdeenQ2nQQdLAA6L1MWJY+QaNQVRjBpekltB
95kVjuTlk13bLiFUgV+duppB0jJ7z3ScW3gDeRgdgRgqr/+0boiyLMpeJWwpzJBDIbfaDHNCJC55
ARvP0jYA7ao1+XXxRrdK1J/SusRzwiRWOcakc+pkpASMJIK6IBkqfw+mxL4SvmUx6Wi6hhYXNVKj
KiR1jYaIOS/z39ZaSQLtOjQyVb8lKZlJWlkN1XU78FdEFTBKMGuEYoSPeqkdwiFE7ZMqmGzdZKfL
aiNZS/vO0hZ2q1x1ofxkJvpd5Ta3dTId0Vd9sswsXzgWPC5C2I5Vbawx/x/DEKNtECQ7rcZwFAzW
gYkH8jUsIoDMNmqE2VCFSDQRfMWc96mM43GZpra1UIvqXKO127p5yKALZqqF/yYsid82IA7SkdO+
hmmBx48h+FhgNmrdCH+/gVSrHQZzk+v+dGAgcpC+shkYfrTI4zZZatarSIecN5Xrqo9OGZXD2tdn
M1hYbqap3jF1uwnRy23i3MxXAbkdNQM3Vi5tlzdDva5Dsr7q9hDqdLyUUbVeR5k0y7EmJEMVljcw
wWInjdacQvB0OvmKXOfdUFYnTK0RuKNw9i471FoO6rUgNm9NYywQTDGpgvWDqcN3BZuaQb0ztqfK
kgpq6XonkwHMUKp+NazuC3pn2BWplR10N1PoCiZmdF3mTrZCzhhh3KZ7B5JS2bvUw5vGUV8TJdxN
lnLVavZ9SzEGWsZaOGNNKLGz7HQAuplzLfMce5ZYoSha45ZcZlafbPtUbBwkO6tK58abub1tVPmg
TVDYSkJ7gNA9T5Y8FSrtvqge9maqXiZ+qdTyU+aAuzCAbZTKi2i0r4oy7ApjOuq+snXtT4P/XDjT
nn3E8cw4WNe2eV9NYHrl8FlygOlahjFGlhCZOF4CP9aWONlhpyfuUxoIQI6Wi/lJO7oGKJ3eOFeQ
+QjuWoZTR3N5qjyOHXfkTd0bTAeHIKFTHAYXQ6LjpAU6G9UjGEfJjm4/4nWpfSqV8M5xsntAJ5xQ
e88OyjdhD/vKVfYDDEMMxdaeyn+TWmm3wNe/IqyJHNnOaG+MPkYvN8yBFc86QeyEl6cRQ8Y69IRe
wjc0hmQ7KJl4KnrHfmycIqqXwzj6HHBI3Bl8m9i1IdXWBhrOBX3OcFX9kYo3H2LbkZO1gKjS87U4
ytKMrjpjYmNN3+P1unKO2mOiR7e6mhP4nDmLb5pT+ULT+qQ05PRJAvv8sPTX/pzh1xpuw8sMiFAi
3DyMc9ZfIMybVlURr885gIFkxoe95yCL8TabswIBI5YLMmQCL3GNR4s8QZ78quoIjbbnrEFHT62T
P+cPDhMKWsZ5n40AZb9F4jpfOZdnZN6pc35hE4/JJiDSMJ6zDcc55LAtPjPRXsaQnpwYO6VPHKJv
8ZSJR0Slij41JjGufbPr/gzoIPYC8o4YwqdPsEa9kKjFYlQWHY5VDkC0IvweE33b5M4itsdjQ1Tj
OEZ0ZO11XIkvmdUOm5JQxziXT1L3N6ZBls4UwT1rDa8kBrJKek8QC6kRD2l2+YM550UCJ7sd0vGY
EyTZVuBVlD5+CMJxFxE1KYfhJImexJeds35aNy2hlGZjPWGbvSpoOTuEVvaEVzK72Uf2JD1p4FUd
CLjkaaxzAi+nOfnSja0NRyhwknMqZks8JjkpNJrmxMyYFEeUCNzBOU0zyO27Skb7VkdU0EQqJWp4
qOYETiXKLxHz+G0RBw/mnNKpq/XWnCcnxrhSuuGkz3meWWgfEXCggw32zPKf3FKufAJASyc543Te
Jhm9mTkhNBPJi+IoK87w2y4lPr3q/Be1Tfbc61U0p4y6wt0bxI42c/5obDTgApRtbVrPPgGlEsEt
SppbBjgrhnKT18xZplkUXlTCTX0V5wQH02fVoO4UBKAyVdpUBKIC/J/ovRdbyVl/68ypqRr6v5gY
1Y44VQsMrDrnq4IOa708UzXYiUZ/UeccVopafZ049WOO7NFTVOeszqmtfV5Vh2ZOcm3nTFcmba/R
nPJazXmvfWnxvswZsOhr/IU+58IOIIdW4j0stgd3gSjIf/v1IWSe5/11zJmPIH9EwHEKgTUJKfjH
I4iWmFqW5b5yFWM2TT4l7mfD/Gfjgr9d4kOrduQttpKOS6izBtk+d+V5iC+//hjzyOHvHwNoCmdD
ZiIfE4WF6Masd6PgrDKocuwz8ZXDcEcV9+vL0ED622XAuYBK1C2MCar9490KinjU7USCmM+gPuEn
bQTfw+q+My691OiR1FQ/f4Tr/Nvxm4/Uv+j4fc2/FK/RT20s/OC3lh/zdFLf8eLhSKFr8AMS05iV
mw6B9XjYDGA6fxYRhgpHk8GG6/KuCMYSHLy/FRE4XPCUqu8zD/Of9Ps4xf/4tjDEMpkIIM8kS4gA
o4+OdBswtAMBTDlrCt3+lgaMakxf/R6QSmJi6+p01QOa4dVjwHgASmV949aZci1sqejMIovcvgmQ
eDmAnEd91TVa/YCiyx5fTYUWjBWyOAoBgzauZi6tcKZN0LDMNLQhN7bDZjrM/FoWkWEtS8X1auC2
nMDV16CCd1sJgi+LmYHbd9B4WeboQhT8W31m5RJ2Wj+X7/zcmaQ7hdLc97m9j+NaX/TwysyQoX0D
gLcT3edsIJZWzmxeJrLQweZpK9jeceb3ZjTM6TXIK2dm+2Y1py135v3WI7DpcWYA1wl26wIIij66
ydqh57cQMzN4gl+BXaO5xE1O62VsiZFzYAxrGoJ+EmYbgmWiKghXSBqu46nFzyM0XEB0QR26LD0K
1SbqwYqiUTDatF04M9/YnknHrd1H+/ydfjxzkNGYqevGnOHIHIF6ejMQkzmEzKc1KMrGzFM2ASvH
LcHPbWTsKwPmciKL4XqiA7TJCY66HkAzE8Iabt2Z1swhgh9KpinyWIeghi/1PMUPyUlmW8+w5+md
+zwMBGojK4QGHYfhBLctL/1bgizLjYzjUl3zYue7vJaSvgicZt9SnFNk9AAfWtc/JRY/nJ809sRr
rQuf0pDNO8ytl6AGItE31GvIR54SrQ3Wflu+0bHMlq0SHNPZDOLE4zlFkrgMx+wtnEwO2kF75iA7
LjPboOCpnWTp5lhwFGntalnZe2Ey7ZfxeBvGOF9Elm0MCsqNW6OJG8wOd8jYC3cRdWXPH9CKbsa+
yl4YJ2mWyp71Ezo3oLcL2Ei0ZjVaPpXTp6kvBZHfqzJO22NduVScvGhnaGeWV1dmdbAM+kFKQTJ7
DVMA/ki30cP0eR7PtypSA3Cxzb4fMn2BjVTzTMN3ruDOe0rmfhGQKq04uy667t5X9FNT2uAnhFJe
jYQ37YRFZR0U01Yx2T0yJAkErvr+2nG+tpyqoxROh2Efx7Bw13YcbqqBJEX0dnzmszPmR5NIWeKb
D6YWHbMQtVbUmf4pdxBgZlape10Y3IbjEOyqMN3VMWklFQ/JCWkr9hGsipi8blScLwF4zEVrRedB
FhJhC309pZUZE7ZqqVnpzm3NtQNEOKvxpwKxAQr9Ztm4CNrMY0DglUm1VCVqgECga0EiEJbxzpbG
we2HZa+17664kIFCeu+k6pn+770lVYeX1C0s9ONYeH1neisr7cacup3dOdhisjXHVZ0BGOWFkixj
KV9CS99YNfDVICjx9zqXhtRppxBfXOw9iyzVv7bueGMoA8FdVXkaKfKVxFiWPGM4I7B0mTACVFnK
SYXi62evMO7u+vl91JJ4R6rzZSqGczYzcmMyKoZia2fFkoWUHqVJZE0+XI3VuBSgd3K/WykYhMJJ
2dB33tqwLbIy3lrN4CnmjKwR0avlECGrlFsF+noSkp9eFue8VJ11rhYbYl0AhHTBRbTAwGWwHTAS
ZYVyRLztjWmEuE5QJQyYbrI3DgZLH8MUcqyl36YYfr4WpAMP8LxiR91SkkM2zh9N5LvNpK80g2sg
azF8cUYwftu0lscEBOXhgLvGvUtjnL5uCgy86NVNxtSQsS1voK/AF1Q9zpxvI3gAVjgPdfuyCZ2V
5YCpD5pwh85mSxr9o6q1dGudW8sqH52wuQkksRgZo8fya6WqwLcGWid65EUW+WT+uEoCYx2q4zLQ
w2tyak+F1G/oW79pCj7JmqZIz9BAVbeKK7dOo3hqmN7GZnFsgfwyJQFbjPvEMss5HPjQqJ3HV/Gq
cR1P05u97tNEGao1dRaBlHmzwgSVL5iFvfZd8civQs7vI8JqDBxstCPwIvfLMe9fmrxBLKQc0rbY
TYqNcYzoTlknXqiwSVA5Vksk/JTllr0RrXwgI/y5JUJhLO0dagSgkUQZFG29JQ90BwGYGtp0QQ3J
x75WH4o6vikUDXXqQOO6497h/8zbrd2avJ32BszHdV6khxI8kFSwCUX21hn8s69Pu9zI9tLXTmEB
2iPvIi9Lx0vpz0JPErV7Bw+Ue9S14anEKDnWaKeE69z7tXXd1M05b8wbAgHUhaM1tx1KGVkir64n
RkBmekxNbO5wQxY9voN6Xqim4nFM2oOAeV2W5CmjIot1bN39LM7IkZ/m93U57jUBbVcY4Vnx0UcB
QU1vG+bYy0m0+xoB/4QvTxKYoSjxF1Tc93GboRBloL9w7fYJ3y/DH0LvC4IhIu2LlaFLaqvHpA53
lC9n1lvgm3WC0K85mFPE9zK1k+Wkak+h2ZSeqyd3Wd2mSO6STaJrlzgh9T5x0XQVve5hYtv6ibXs
hZKtIyo6Cf7PDvpgqY1ilaQglcL8ghh9E/sD4N/xS6mAi2vilxaHacn+xzegQbsv7XXX0ZoJlXyJ
ZJ7eVbfMUjaJwc23UnG+kFHtUXpuAml7EQ1P9FasPw3q5WCYvCHLD2NLIGdr3uEJYa9py2XeMOqJ
kqUS9so+FwbvOnpcuku1VuxSpT1NTFubunztnJl+1biY8CitDcRmmcr2992R9ict4A/V1/sJkTmx
ZRu6DVDF/DARbvu6pj2ZK2c1w6CAaTK5Uegs/Poic1HyXW3034sQuK7qpB/o4oNcC2+NamFvUs6D
87lG5N89DQVxADQHf9fR/tmBFzrMn1f6UB4VfjFqk8+VhHMVGkxebPgJ066wPsXdc1RYy19/sJ/e
Pb5NQCeZKyGc/bEaE3gWHD8tgotUntvuUAWvefr660v87BNxWuawzGV046O7ysdyp7pjGV6kAXp9
043jOg0RPwabCF2oaK9+fbmffCKD4G30BrwS4m/V+OxzEaPaRpcoB3akA4ed2++/+Uw/TjZA5cDp
//4iH+rxxlda0/K5SMxgvq2PsRv+pkz+3ceY///vxFmynZimEl5ywddjATdLijsfj9Cv79WHWvxv
H+PD0y+TMSll1kSXQdEXeJrd6GLMHSz7yUQn0JxF1/zmij/7WPjL0LeZFkbjj7yeJHKIiIq16GJX
17RslmW6s/9hP+b9U+mAsw0oCkIwgfrx1vmmrliOrOMLOevrzGIAVCz79P6f3zodiR5CFE23hfvh
IkUf2nYU0YSpy6fcOoZUijGLgevfxqQAYPjp/etfX3F+pz6sQSxxf13xw8MCgwY2URvx0SHjlc0D
YVa/WQw+pAJCq0C7Y8/QHrQ1DNQ+EuaaAlRAOGjZJT6iLt+xeZ5QjK3N6/DGXObryPt94tzPXojv
P9WH9Q6HJMkRpYwv0oKThoxBuCwKxfb/596hGVLZOU3rYyS2NWmW3QKDu/iVuxRYppz2N/duvvsf
nw7+Vt422oE2UuIfX7qyEREuUiW+0OBejI7gtPkcGQEjovg3n+Vnd+z7K+k/XomKuKhRR8QXDdu1
c236t9X0m+Xt55cwLbwVcJfB0P94iUhLpGNMQXLJ87MJoGxgOIed/Teb6s9WH162P6/y4dEntWQu
wnzxEiWvqTJDidY1Xm+IFgSFKMkmNX/zjP72sWDfI6slIo6tSDOMD0cF4fp2mdlFemnlpqpRYa6r
6eYfvmgfLvFh5J3LgBsaVukF1zkIoGA1xuZvbtvf1oH3S8yeaNDUTL8/fIp4GJgZUmldmvRVmXbo
jX5zgb+9ylwAIZ/J94TGGzyaH58+S6fdazlpsJzzsg5jc7yLGMbk7tf3e/VvV3b2Fv3vruxNJL/W
TfSFu/UxzHD+wW9dWc34j4HMUSDGYC2e1Zbficctm0YtKFTE6q7K8/um7KBdC4QN7aYG0BSVJF+5
b01Z/T88UqCe4LT+26/9B8qO9+3tr+UOOTsHOcBurHaWhd3l48wjFDkFX6fD5CkqkoWOSkqRiXnc
UBuUDq4RJ2e3E3qyCi1fm7OKusnT4LvYgFURH9E7Sc9dUSk4fgdlZ5q5fupI8Vn1oskPGT7821HH
Z9kNRnnMo7Z4RZre70XWJ7eG1qM5K2I3X7aD/dUXkbEtDMf3oOLOJE0auc+hiiyGhhv23Lov0bel
m0Ro/WpKc2IcYHm9KXo03YjGijqqYpzb+Yi2AY0NCC+rWg0iFgsCDLJlRFb1Jcs6/05wyLthFJ6G
t2psJgH5sLZWTUixQx9eNP11PJYaag/BBRHi0fOQEPLgS4+9U4wvtCPkdV1rTq8COBEGkzpaR1c0
HYhTMqMqvlfiycwWlUxsezkIq6oXfa1jVTYlmwmgDn1nSOIrJkAKK6DNi7mMddoSV9nMl1Nl7ZoH
OaPngDdDoctmIB3qINh0SjVz6sYo13VMMwB7Ryau7qqYjJtJa6S9FTPuroB718ZpuC9BrU4nk574
znmX1UME1byxNvNJX4a8mP0pQ6CSK5t/V4Q//CRs0v97RZglXwuo5O3P1F785LclYYZluEzmmJ69
f/NZLb6tCUIjQsGYbSN/uka+rQnWf4BoCPw/tMo4QLKQfFsSrP9oaCz4nyzq2n/qJyEOgX3h+zXB
dFGiQeWAhkZBzrjmx30DpZRpysRRrmwzI52g2EkySwhVsvA+am2BjW/cKo2hL+Mwu1ZJy4FcVZeL
HsB/P7bFKo3b3VTjKgbLFy9RXhYL0Y/+qqqcnlTZ5jNrxSfs0s+lWp1Gvg3Q/JwjtpB6beBZ9kv9
HqnNJtMghAVtesOXuFoyj3gF3UcaptUQpaBeu1j4Fr3jm9gAa3Dd9ttgWIMX9yXpoyR8kjOznpKJ
ulFB85W5ZJR14NwjrcSEDagoDkpYTYWCYRu5tKbUmz5Bw2P4Oi7vDsv+xFhkZfoFzJ/ehEDvD8Zz
mUplvI576UiPbmJPi71o2uKuq2K1RHGrGSi40bUASnS9UqOXLpsxW2MjtGma6mtpYrVMOF12MQHY
bg4PrEAp3qnxl9ZmDcQKBlEExL3eXqXyXjRg3/2xR7LhQtTAk3hrDwgOyFZ7jlO8MYNbizUZDSiz
C3mw/KbZV2r+uRJhXGMoDQt1jdEagYSVGeK6SoJkTnrEpDbiSEcgktgdIIchUVeDajzmRvEpi+zi
XE5DcVRz8EqKjSLCxi0SlLs8La4ardlkaGlS194Ppv/I1gYULtFHOhux1+WGutM6ZE8hn5sQx4Ee
sVWwIKcsOPw9D07QRnsZQXwEssRsSfOVpd/r2dl31LvUSbFnlzatOctGcRS1CVrgKsK6qYh0jdLK
stZa75wmMV6rDUZX1WoqSCWFs65L9Xbu9/pVnS8mxiVV4HrKIHB0WtdmbO/8mfAssTOqU7OSbXDX
Otl5cOVGDIK2vyqXBmDzhl0mjE3ERFn8gIznzi6wvffOJ7hoATkezXbogrsSDF/dR7dQcR+jVttq
A313FtxyaVUm9MiIiAGE3h5SR+EN6F6svFAPPHIyebr4awzsTtb8bcoYmGtdnyXhApfjZG+AkT/j
rF37s+u37dLTFPg3mVmVu9FscWspxm3U9Z9zpVlnzV3dadrSrdzrIIxXZYOjvpz2taWBpol7eprx
ponqLXgxRoqEqwH5f866AO6AbXlzoN5Cr0omIwGCcAVPVDX2L66vFWsV0vZkTVe9Ks8o3h+E6A9F
o6wKEkzxjXzWS9VaqX58OwXhuScRo6r7Y2hqn9JK1daqGL0Kbv4ySpQrX3U3BAViFG2dGQH+Wfr4
rPTeP7rB2C90mR7SlH+muYe+7Vp2ymxHuOdRzi1eA2nBMOj63i5Mep4OIjhPI+x6aU1Knt2EKkck
+ObBUxyJdW7ikUC/+DYpzTaJ5BNBFF7vyvXo8CfoznPLcDDrAOEVY7vStQ7og76tg/JxtOmwi4zJ
aG/AjhbdjaNVtEIHqNV1rT9GXb3radymivSZzRrXOrMYasdrkbvRcpzkyZQ9dgkz3/h57eyo74ml
sjeRkzzEIjky1bu3mbIsUkzWbThHgaSnMK8OxDg9oO25JWfLXhDl9GpkfNXUmnAXcR7SrNsFI6cu
yP3bVMC3dsUNL8m+6FK+YTUydF/1CCPBL9DJx0xUjKaN1JONeinSHm0+QGqduVLVKztjNLYqZVkL
lyab+m3P7MUlCWxwW0Ti03UrcUDbWUUOa30YSl5ZJ6NsaNJ7wC3PCSNkgvt2LXBvBhb7sLDIbgk/
ySa6NZ3mjvNvuqCT5kkzZMzmfE5QG2kZFraJuGtfQEFr830+zQQNrWeAkBzIH3geUv3WnSmNIGsW
WlGpyxjnjSEjLy/Ls4kVObKdt3/PJu9nE5MC83+fTT5Ro3Q/A3zNP/btYALrmVYeaaU2Om9iCqgY
vx1MAKGas9qcUsadKxkqkm8HEwPXGOnZ9Jrcb7qTbycT/T+cVujp23jRCFdFkvIPihVOOB/OJbNE
XpujXTUTGcvch/iulTqoSiDrOu+upjFZkjHK7M8E/Zn9pmzW3qVLPx6AgIghwkc+hWpG/Qh+0NJW
VlZslFdqZ7r3SVgpFhoA8n621GUk/ejvqT8I8qZbvt6Eu1ksgeRLBU9lEcMXDYgM0uyspOn/niOE
FUl/zxay3nOG5HvmkHzPH+r9imDpWCtI7eG9J5dJSc89e7u2jsqyEOuiTztJpjq620XU+PljlIzu
2nSmGiBX/mqmRn9lGyX+9k4t0yXRIilp3j5j6hQCqpIiYieUoC/0syo1MznKND7XLSrSrMRqGroX
XVO/Msn6kleB5zfqnY3CL+/1jalYxUaofApiAdYuSaZuBu8n2/kgDFd6kkWrhvFvOlZvcDRvptK4
0kT51unyNtUIzuuNOn6y4TWs3CDpTopd1ldVY1r7NHJPpZuljENEs8gVRX8zELVsDT9Ur5i9lWuk
2tUCNaC5Fmz2euteMRNlRxLk/QTRJDYQZu9HTXlMBXPTIg7Zc9s2IOCdSpZQPpSSa0Hs7tox5l/R
smkkVn1fG7jamBrn4U0TSGXd2VpNzq2K5zWNRu4i6sVFk3T1ylBqsK7mdFNhvAXepGm/GW7MtOGP
7zJlvEqbkU4WvLoP/aVqrKsg4NRwxT7+0gOYup1u7YWyqJbtNt8CUSTNaJ1t7DU51oQYGJ6+Flt/
+bt52HsP6K9XHc0jx3+YfFQjtNsNDOI/fqcAkvcdI/TiyhfBHmTqsEwCZsllbwi0g2TCV9LXvRpZ
CCHGjnoK7NrfazwjK6my5WiPVy7ObGx+03M7FK7XMD/32rb0UE882yan89gnYdGfhocqLckwqlEr
2E2sr4ae2CQtjCmLw2E96u6GZhW6Y44hNAHmmfUW1NdiFGIDmkVbVOxcMB0M4CD5lhPUqtCNelGo
2Jv64Ch8Eh4TjH1MlZlJZXGz4kt81Q+uvqkCxomNHtwHyI00PTt1A75AxSk3KkFUcC4qw+MEfvvd
8sr+iV4r/z4x4ccqalaTEhNKy5X10qKv8nGw4E6id8vMr69UuKYbFgJCxmss5GQorc0iMjCjBy+/
vqSgpvzurfr7NT88TWWQ2PzpaCCT0MGXI2zvgmI1NfbWyBgBVAQYBRalmk0EsJk2LSbEfCQ6C0aW
o5hHxvqPakS3UDbKm58gwK6qkyhAr/nTqxlUz1kfVSvcqeW/Tm7tfU82ft0vCF+almf8sX04/9S3
LZmGABIMi5EuywUYEB7pty15hiTRUcSWNU985mTZb1uy8Z5Ha9ImtBxDdd5NY//dktF7ckLXLfed
Wf7ekPwnW/J7l/qvBQTEBW5wfguDChOBJ/61HxcQAhJVTJA0ylUQRbxPXbPQjP4TZXqwgR13LueJ
WoOWHIIbLuPR2VYQvNcO7aqVHJyvRTfLzN07I6EYzrUKcLOOeqIJJk7a+tZJO89q/XUGRbrv+c9M
wQaOTpxolqfGhOEXwTLDrLxuhuoltOPT2HZf0dOse1dfI+7DAKKVp2owXi1sXuzM0YLsKEQPUdZt
47Le1q57aNBhFsL0JhGvFZRAWGfl0RLFvd3Lq16EHcYiI9qEk3hJSWTGJvcYqggubB+3eVll46bW
0gAmDUYbw2r25oALzAFn3gocNjqCkDC+9SWaC4oZ4nrK4TqnVbBogE5iM1W35AepB8aTYjk5/bRS
ci1fKJl9dvX0C8ms5WYUJtCzIAFoPvp3ILvf0hICkJqD2s2b+JQQCLeKwD6sc8kxICxtc2kPxYhF
2QEAOu5Ds8VHxfi0NWsFNkO+6pziOqzxQeWOu9ekgsrWbE9IVsHCdSiLhusINiLJSvRZUJRv1MlB
GTXbrUR+PYR5tjAc9ymOtRtA7exckCVx3uvsCpZ+N2XRU5JXqz6lRUIdRKkZRUdm8Ye4Ut8Itbe2
8cQiLqJuXIeNxSHK16+7NnwIY/7+YCQuY0KHuLRKY9tZGF7KXDeoebuvRZzsFBzafVBj8Ef6CtGY
xMWI66hDQ0Y54WJFHj4CeL0ZapRABaG64Iy7TRAQz1vliP/akfS6PubnUo4XKy1LjE1WdGciG3GY
+Dz3pgMyPVQLDkBP0EyPsLeOdeRGOyXQsI1ZZKQZIgfRQfYmjHadjLWWdDu9uAI0cqwi00ZC0+Qc
RqIrRLhPVVxFWHppjXQRMX5GvrR6/tBe0sXQUrmtNPUiRIMysJ/5ILBNgm7X5OV9p8hN0eTUTIVH
g8sFPRsBHmgk2FmLk4OVhurKUeUjppWvjRRgyYcNcl8OMDl++dwqzurIpxrtS1H1JAa68tZJUq9V
99V01cqTr0TeqLq7YMjPmplfhPS3OHvOSoevS440SGDLvCOmuiKcVmIiYsSKU7LMs8hfWgpZ6EQS
cMv5pXlmkt9miWzZGx2SR1W+kc+crNCi2mtRzl/VpPk8xDChEWza8dCB4Kvi5RySsqH7vQs17DAT
hX9NTaiDNc3dYYOfK+DoqSNrQyTnuYrDkYQuWzCE7b7wk9jLpPGlM7EMwT74UujysZq6Vxp48bpo
qJUDvb+QIA0JChgLYEerXbMcSSiEXS7qgwjS9sDaQyvJ4YwSDVUFgw0Uo5lnseXp2LrMe/meVB0a
NT46+Pp8l6oc5Jo9kGrtvCdcOzkBALT9YfVsDeJcSMHWkYxd0aoYu9s/0rN7t1b0Qzd0xaE3aYg9
1pMh5Dlpy20RgM0qY8I9C4O9N4pMyJ7q9KLVwU1DV3JJWuveMPLOq5V62DiKdTDtgRYllcyiS63X
qigahGEWZXtsPCaIJ5ahxN2oqZO11wte5iRHSMo/h49qFs+lb7zQJxSr1uEUpk8wy91QQj8r1IWR
oyxWVeCVdVsPS0SfpxEN7xC5sZeUysnI62vF7w6ZUzzLqKfnoi/7AY59o+EmDUoTiaY+7LFkmcRT
oUQpX6KEbJa5k9ySb7smBIoMxLa/VUV85TfuUYlHFNvibdJUfktgviUy+5Sr0UqZ9mIc4pVhYpMM
6ptkYOlRQ1JMwebSPQrtk5qkDKuGYiZ57EI6GMsBxe2S0FOi1ER2ZdnJtMKYEKxVKM5YsMWqt81p
FQ3daVJJ2DTBIXAXSsLNKlj+uCg3OpyFZWmUK9uN7PVESAyeUOWuTVaTGTyImu6rY8T+KlQSrHKJ
23NxalI3cbf/x9559baRZVv4rzTmvYzKAbgzwGWmEhUsp5eCLNGVc65ff7+j4Fag3d2gHniB4TxM
y5IOWUcn7L322mtpo4NZdU+rgIayHyrJfbZJ+hy6fdad5HZNaG0jsOYp1gaK7ClyJdjO5O7GoTMV
F+uV19Q3ptMNc7WNrgY6gOdjIiRWHS4QQK5rt4HP03Tp5yzOjkIJzwGrGb80BR6w7DqdNTBmE0NW
pWmZ1dvKca45oBekhydR4gsLEG2lhdk1LWtCx7iftp68LjrtvLXzS8fIvgdcdBOEps50mcZPg33X
prq7dEelnBpyufaQU+bU7bwJ1QMkAaNo7RiD6CYmgLfVYlkZQTelLWETBc05kcgiVetPbaKsoGX7
U71RWYCN3s8jGUMmkqQCqSTXWkoe37XaMJuZKMCRGSpLU0USpmZCYfzGGzmvQtKS+ghPinJSmM6R
VfXXMeAq3cdcghxZKEKP3lLqlOM4dczpIAzGqXfFx2hqn5sKmiJShaYVtsXJelTxR29dsq1BK1zE
cinM6cE5jrafJBRLF1Jqp3THuRxwRrcaE5UtAcVbRapphuliMjOz/jbNvM+aUWyq1Lodde22N+VF
XplfsshDhi43Z7UWrN0k/yJn9oqU5aqz1WMtxI8BS9apHPswXLsb0fXSWOrWiVDZaoKLESuPiVPL
V6kuDnHJWHDW+9P/QmEPZTqi5F9DYaJMt8AU7TaobndV6vjln9G3SrSMHoGOcTgH0iuJUpAjwm+T
Mv0DVvYEiCGjRCeKTkn25289AWLWBwp1LBIcav+5M9AbEIG3h+AFv0MMqgsCwXNAjBZv2Q7dcqTF
73NBztxQS342MTuSWDHCn9G94EfqjEEWS8+YyluIT/AMchtz18z7XFM2FVw1Il8UKieVAdn4L7hQ
L5/k7fsI6O/Z+0BIz4syMJSNkbdTpTzprLvfP4j6Ejx8+w6vipqeUqTIXfIkao/huH5tOT/Qz546
EvyGdo7uxrRqv+bNqgnOa4QGlGAb+guPVojsok6vPMpCNY03hje3YfF7Og5IV13iQ79O/mIqFJEx
/W7OSeuez4UWSC5kaDEXaCKM8Ajyzw1mv5mibzoaiBCwQeb7hyVhOs1/2mbwcCr80urREm/w+gPA
ITZMyBUgK0JV7PkHwN5TqVvZGjZobdCopzglFwdtoPV0yPUinzqhnDbr0AbpJN42mu5SienW6TgJ
p60sjdPSKKin5HAnUL6XjzoHZHoZJ6hUaUedK1fg/VKoXPcawIgWOdjouPTwpQjllma5zilJqm2x
oEmHOt1A1rVpTYRvPRyiIJpgnbMssQpK1HNENvCU+lK56OZUHytPYIUxHXTmrMU8TUWaF+nOqTWi
bRPm+H1/zIR0r0k/4QgnIxgUVGcbbEgAKxEbLb5UhEEDDNqiS4+VWr8Iw9MQxdA2JRNMwG9ybdTm
mfOx1s0ZneEQRXvh4OfpMz0gcZXtBGX2KP6KNR4QFDZyjoHsL10mD3Kdv/wLvU26X2781wB1F+AY
Ry/guJGX2spdjyf1Z21pr8sNyfdJvUIIcY4rwnRYaNMjhPgW2az/Kq2jRb2Ul+YplgKnv99dr7Cu
N8cE+MXzFaPHcWMlYsmi4kDXe9rNymqCK4z8F8fRrpX5/Dh6deDZQTLGPnXGjYSrx8f+rhD9ZVNd
nZnuX2yCewG6322CVwCtw44pNcRMNj48h3M0K5p+isZSV81RnPQ2cH9+P4W7TkDs5LBPAY2FjvXq
BEzMpLcs7IkB/wHFx++tdP77N9h1AD5/g1dzRzXfgtWoqhsMuBvAhE7Civwv8eRdR8ezp3h1yjq9
Y+IrwZs47fFYHNXmR9X89vvn2HUlPX+OV8fjwF1d0s+pbiA+Tvu4gwNw6YRnjt8//EXem9Z4GtyW
WZX9qP9HjHyb5UOJmUv9n5dfVg9fe9tsdlPfvPhiDvu/phFtWw6X26qJ+dWHk0D85N/95iOG+JFW
tn//6+YO8j1MmroMbmuul9f4osaf5ffh0VFGL98u/Xbxqz+DI/kDcrMKBB6KZcoL01hQS4NOb5it
GoHQvfrkU3Bko0spAxVqsHdVhBbYWH8GR6TFj4P9U2QSob8XaxFkkiCLgqQJOKrJ9JC8usboY0lo
KB7KzUDDLiQVtVG4ltLUDtdm46ebQOco9C3/zDRKchvTuCgGDO9HT77UXP0yKoGaZFKFvvfXtHoe
+5ayaLXmJAKlk9rxKE6VEztVKEtZ9bTV++9Drp3IqM9NtCY5gw+6cD3rpPKlBYooFzhuX1sD+iUo
qNpusbV1mz4rG7W6dB3hUOdLAHCmr63BED+VA3KDunyBtcVZMwSz1pHPegtDRcfsKcyPS6NUpqSW
1wbKJGQp4Twuu+9OUJ+6Dqd8qX3TPER26/oodc1FrTnHrV6gOuOfOVm/cNDCRGfprKHbU8tw+u7V
z5ZurHzKXA56PFKUbUIlxIpZmWOOPiuqcQbc+dUJqnPfb069bpi2mb3Uu2aO1MxZqeZ0vP2oSked
J2HXTP2mORod+8alfxLh6s9h2ILYASYZFX5g41IKw1mSjxMzL6+Gaqgmbh9sPMNaRRZa3qF5bVTJ
ahyqy8Suv6dqf4Z+0xnkzJPWTFa04x4l5bBqChowEQaywhx/QIwTkebTPP3S8q2caka+qq2Ufsu4
O40aS5ooA/wJN7rRMv3Syc2pj0vwhGtr00j1iacms9Fr0ZhKp5UlXYZOv1Zk95OeDFDRtLlJYWlS
+FgWRlB3fFcuEBMsTgM7pqO+K/qLGOugWRaYN1YLcw1Rr6WdG83U63O4M6j5Jl3/HRFJZGbKEpHl
eTU4HZrGlV2GKwiw/hoP+DLc6OPYB5NQN1NtSddQsHBQSAQmr9aGlMnLrGhA3UjSo6zOj1L6jqdV
gYGtEivaaW+MLXCdEmLWh2Mfisvo12tjeKkqKqRZGsshEK3CFNwdnQiacQMcklMkRadK2tCzm+Md
WdtyOG2sTl+5bWrMKnO4CnSqveBCmO5qOP6NDRgEYRTeyF51bZc1pvMmAVsYo91uA4uN4Y/OwAPE
kdSPkureAuLP7EHfjMDrehlRAo465IVhW8XuNhj1UzusP0sUd8PTshGKSYPeTIsc2SnN9OZBkl2o
GYaOSEbM8paKlQsJcgrNhZbNXP/uYV06kcuU/rqqaGaoPZwFpdCu78M7B3kdIv0mmbYtZeJItbde
7nxLB/UayvyWz4++aCYjGoZE1EzLof/4iYahe4qYSR4Rarc5iEVczrAw2bR+cmQn3Se9H340lnwU
OvYRtoNYKkrNnAvhE3XpOVXt4gxN5QJAElFmtZHM0yx2r9LcB+5xomqu+i3qFTpaOVQ7v2CVwywX
yZ2U2dlE7ruSLmAvXYRRv3YlxM+wGJs6Y/t1zMDp47rfBLL1Xehy9XqLe2CfsG4tc6WZsHksP155
NnLcaqEuUFGlkKqpSzdTv9RFYAmJhSn193XgUaJpzODL4GkMLum3gVsAZQDkoFT5XaL8jUzVMO1d
mVKf+1nDPWg60Og8qo081bFqQFZLneo1YNdY5h992HszOaQbsMdUc9K77hctlhtonK7F+tIWRYSE
neN0bFG4C9MsY1uWnV3x8bQfiaz2y9ZFTqKhiB9EWFh2SbFGM8nks7VHuV1t+gQHpoE+YTvR1h0k
Ab9uQQblo7qzRzy0HCQWJKDHBo+dyJevOq8+NlL/ozJYCHGANacIDQDWddrM7KWToLEVaOLRNSJ/
8EfgG85iK8de0vejdFF2ledPpQw1YIxfZdD01l/rdbDw4xaFT9mWKIQMrRDrCKi8JBgrNeoRxkzo
mgP3W0ofXwQZ+dr9Ffzewchym53dJNvqZfBx0LEILJ7fxyKnN/V2F0zDL/6MRNQPKPRz13PNP5KT
fhZJEdtXFWjMlkPLL34xP4ukGsaEIL1CkYZMF49lBvwzEgHbIfOF7/QuMA2y2bZqqMK8Gf+Rl9lR
1XRNkZhDt5Gz8xLJgSG0Zs8m5fwhLXnONRDMp5fJCk2yBDpYMIoWRv1VTGx2VqQ1VtNsKj1E0gz0
EkOYi0pfKS5iTJB2579/P3SB/uIdxSd6BtioUFcC9LmaTZg3AOGDVzsTzDfUBIHlrLroysw+amsj
PzMjw51U5sIMh2JeuL1rzOukRv3NS81vPajTGt8rtlOR6zOlyrSJZvsnRhZ/wi8lmualfNdK0Q+n
l76ITqYMlyjEgHRkKrxymGIgBVUaiBhuMLaJqCd7Kz0ylxViFQvDsDTM54Ns6Q59OqWYGU6sEklC
9PvLCe0mCNajid0ElzbRHYLp6DkH7YlUuPyVQkgkri2ok/VMH7TJYHYXrku2gWbKKsuU89YHxbDN
dSoLq8PQO8bRB/qRdF1K0K3b9Fs7aue95a9aa6zmCkapQa0v9Rw6UWD0E9/MugUyptUSz7zTrLGg
/9QyKielMVTpVVb45soEawmVtFgV+DbWFzCs+IcmKakmxGAKNeziszQZjZVeIc+G2mkB7dI+Qbn6
FF/BE3jU6z7CdcFxzyQ5OhtG87MSU6krJMnBN0vQeoJb3ZDv0EE25p2hn/a5fuSq2qyN8pMaP52m
GdZU4c7lsZimLgpz/XDSDf0JggDZrB4TeeoZ3XHVyp9RBpnrOlz5JB2vsRH3JjjUoUjUpOdpVC8b
G/OAMTqSMyrBfW4iy13TX1n0AOxVG1FvouxVhdY13hIwqSXZW6hJ3qybpquXsatWF3ZQDCfIX6Ny
AH4eJ1zv3Ub37cuqKXFJw/9i4vvlQsmTIzcOzptUuuraFM0M/ix4/87RTYfeWt9ZPqRUxQwvVK+b
O03STGiUneHkDqIzXCAnjZAZGKTZ6cuubBcyZgg1YnSJImMQmF0hmH6euNBnuh66dR1H7WU/+Jc0
R61hUiFebn+ByTDtLaP8mMsUxcKg/JHSUkAv1FLrqEOPoFVYvSAO2m5lDJBS6qSFroRTTrC1Sr0R
RWpUx6WOirh37gftqW6Eq8JIlr1szDEFnTa9e1xVKCcZsGnHemZU0hnNrDMVmq+smRcDJHu6CIj4
NFh7haN90nF2U9kh00JYPSG3MawizN7XZZwucgICxKako6gaP1aiRDvENVFUdhViCUrozrJ2wTwa
W71xmvAGHXeYRDGa+mEXTaFFD7gqdgmGFK29uj9m/nvp6VwBv7306ps/pvHNLrqu+NWf157ygVol
dg2ULsm/BSf32bVHp5BOd6kBLZf+3+fXHv1DpihC6Bbt0qK95+naM1GN1jTVMSHtmIAs9j+h6+qv
MLT7DJz6iEy3kgEXCXLHy0vCUjwljksjQwMDzgCMEpxoOhEoigqu2nvKunOjRUzzSJqkak7O4n9N
aCxBEBbBnxqd3ezMaop1aEibUXLnMvnYNA6t7ARVGnLUoPw00LZiOzkMiIrM1ZYwSKW1xSzdTSjX
I2G86HjJQgtvXI0GDhzMkBGLbRwkZ7aBDjTV6rORTQYXXm+XPlpk08jgUErl2p8GaOOMIXw5xRtm
iu2RY2b0pmBSDyWlw6oWw6yerB8LRuSeTacyZn5f97O2la9bpcZ1fph3ag0V0dGjqSkTxhqlcWvy
nNNciPIXDmzJpo3vY3+g/TS8dQJys8FFGadJkD/B2nTNmeOu45yTAURjnqWSvJSRDTs2DKk7cQPf
wU4rSafwba8xf0F0NIZIwBW2yaSaevEQTLoR4r/ZfERkGsZLVFybiHnnBQ040JFOdKwDFhRARcye
NrNUinPoG+S4DrJ0k6hoTtG+Q7liyPDzbaVlXhpHRqp+SsIW5E2UJDrA8LFTVpZWwLeKgruWhNRL
x7NRRduqQfIFT8jyS1zT7NNkMGuC/KTB3WKSyypoKp3i0ggukkUUNKoM8dG8hiEaq+Y6rM2LyEX3
SOtgAOMVMC/0xF50UnZbqCoqA3J1pkKp0gt8eeXkJMG0g7DkWNMQeE306rhoWTNuU50XgYnoXcTU
yEjtznWETyv0iquwWRaFdmoZPsiJgytdQQEaBk46g+ewLEMJ8DerTkdclfjrIRbc2OalaqqnyJXj
mTu0/VRP0IdTI8R6tGwMJrFegxJHMm6/MNYqShO90/uLNkxPPd39NhSoacWSvfQQVZ8ZtfxJL7Bd
0hDKUuJwNhS1ObMD78JDUlnpBTDRkzU7dyXyIQjVVMxhZa69AkgC0OqkbqpNkFWFdJFhWj1uhx4b
O6wOKKnnnyLXK9AWQ51KpNppE+VHYe18zSL6UIzyzsbUroTwkI/egniMFqLuyKmlRSmrx1nsnwVZ
dtSH1RmCUOdtGkVAQVDDYrfBSNA1fqBk3RCJdZqOm6lr4aeRtuOVao6nXkFko8QIDnoi2uk0k/fV
lyTTy07EQ0harToCpNL4Wol4KWmc65SbOiaQKlW4xijPkephVZCP580I9RmSCaSV5oLDjuyxnkGX
hJkeIDThErBpVX0C6xHdc6SqoRReQlicuoN3NeY9FCkR9fki/lNL7I31xEqXjqcQAIk4USNgjEXk
iP2rEJEkmsxEXCk1rJw0B1BJRdSZEH7ahKGWnv7ICEsTEZ/qBKojLloGDnu41BHDGiKalUvXQrAt
/243Eo1OkX8a9DbHhCyfJxmEuMYqlE2nxVtttPq5PHbbppLQgzT7S60b8rWWtt/QOV4UuvxlCKxT
Oy4WTkW5EW1JB/3iSl/C7P2c9k4DlsIdbg8k0Rn69uW5E8THMr14owhjjMI9wwM4mAVmtMrSAcKE
ZFzbgFW8M1QfR/+oyIa69A14+mOh5LTlhf28kNTTnm1wbmXOJQHpqo/1gP69NsGYVqW0FyqTINNo
rbbqGc+KPHJU6cjOQMEs8mhaD1i/mHE8V2zklZzbILcuq1q7jJgT7gEFATsMJ+rYPk8g58s+Pq9u
GyFA5Vr444wYlHRtuPQL9JKDMCazqKW7gOFsOypmhlAKM7wzn96LCXrb7bEuKemcP+iwMtT+sk9p
3UpyCPQZdPDGxhW8L1BXR4h43Wc9YpSzyNaOfXwThFPQNxoJgzXHMXQy8AAPXTTJL67UwF1SyyhB
Ss0Gk2j0sR2vuo1UP5hKFYqdhjWCEBSnNKGUrJocSbP+hLb5cIpryrKBn2JE+RlS3fE6V7qNV/eX
8pDNJVcbFgbtjVnhrCRF6j7649AsukbdRg6AVWVZF8hBh/NRtEz+N56653uIVqDfxFNItm7Lt2UQ
8VvPQimdJn4h/SwaqAV94GcopXxwqEs4JsJaIiYiAHuqZeCxhVSMMNigtcmUn/tloZ2LtAIVdLgh
giCi/pNQiuaUF/k2oZRF+4lKOyMeHCSu8qvyYKvCoCokZ9gAIlcLWYrTecVii2i9pZpwDG7bYwHe
GpJEIJ7mp13XXMmJsTTsiCRBiOwFvmyc9CkswDZUiS4q/UgwWPC01aqFqtBkQ0qarfq2yC9UneDE
1GvpmKZIY1mF2RdnJEVBRvI25VAi3xovkoBSr9vh/iDlLUUPD6lpGninadYKBiAqeUHWkWvZ9Pc1
OH1P00S9iDQpXrcJqVICEiCXvrGSLFzCIZlVayVq0Il3zNSYBnl0SbvKtouKK9A0usPBRkvZlNYh
1L4jD6XI6Vg7+UZuzG+qql46BaO4SnQKQNRBzQUMFgeB2zmnkBwmQKExLmDthRyNn5Imv3bC4jjw
q2/kaMswT/iwY6eiuxie6MaA5V1nnI65fTc6cQRAjJqojR3tYGUZInhdMZUQGiWJp5gCxh35Gui6
nS1c3GktqTglmP0SBvRPWlruIj2RlKTXw/cxUM+UoOQLMPzA97Dk5dpHM1RDIHgpNQLG9nk/hNhx
FCPFtmlQKnPasHCzRzWddqz6uFGchVKO29G2g7lhtcdpT0sa5ic2EvEESmlT5VxxSF6UNrQGxyPQ
QXL2c04zcYOWMslmPm97FeB52LqWOefsqqeq6wknRKBtGkasCM+NWh+zhSLXMbcPVItyMDEExLSd
UBDa+HhjFxizKjDspziAmNNSiABDNl63UP3CMLto5ESeIIpBk3fMbVTAHUrKKer5y0YxL/rO+4wD
ijOpk+rYK9EbbSW4gDbEv4ldARkFkUcAPYzyyorTYJ4lFfQPz63nQeF8yl1K8gmhDc3dx25nl0RN
VT+rjeBGHkYk5dvsxuqhgUJbok1NcseVW9Ni12HpPs89nfgCMHsiK2MOFRtiiVd7V5Zrsaa41VYo
+Z7WLldFk1IQdPsRM9mCFmGc8Y5jqbswFf9ramkuDraJPTcq8yQx1RUqK9QBPQcn+6qaxZIK9cTH
90po+pq5QvSIriuFkn6TIZUCMxNQu4tum7D5HCba93zozkPh6kvz3JZDirKah5NjZ5/RSS7PodsA
WlVpe+IM1bmWa3ehHtAnkfsrLR6+d6Fz1qvpVYCL9DQxxq8x4DWi0Ia3sI0wXOQecH3tml+rrAD6
QOIlDKNtONLsN6guerEdEWwsmZNKR27S8YKrzPdID7wgnkt59Dntss9IoCBa3+o3pRx+w/yLlt2a
jrk8wxeNaOAUK65PYSkdK157hF6rPJd7Ax++/MjNDMpKWTNFnETBj1P6WhfD0gqzk6xM4klnIR/q
e9aXelTp8vY0Z9XmqJpUCeSqTmHhEf7qGzXKcD4oYFQ/cMP+CzMYcCd+fS1+bb7fvL0Uxe88uxSR
1xEKcoDk93DA80uRrjZUiywNQRxxvT27FOl2A4gG7OZH7jmTT/iCDWHApp2Jb92LmPwjfAHawNtL
Ea1Qkw4kOpOR2nxFaYlryo9EdPKm5oKi7cNYmtwvx6rUgCXYSn5hiBsNUQr2Bs5ri4yAcFpz8ZWZ
QeuFuAsD3TFOSnE/6vc3ZWcuW67O2O7z03KUpnkr63h/3CqAlDNkiyi1ETyPZrd2XHsRWCAPAGjL
RnDQUmdIphRPr7u0XOmBn36kx5MicJ7fmp1NWpJfl4ouDmcaG0yvuI2ReJ9llZ4CM3erPu977Fky
P72AJLRUQl0/lzTONxpF5nUnu9Okk9yZhIsT7kzF+eDWN1bj3bqJjUXKkMpzD7feNR0TcAYz6ZLw
Oj53atDRxAQjiDUUZV2kDmYuNfmpJ9F4krrDud/rXDKOdlcF5oVvFGd2HVD/9KMvgap9rDMnn0mh
us0jo4eO6F2XLQKCRbVu6PwgKVJWSPHdyXKUCs32FZaQF6kcnlZYxiSpdxyOzkeF2jI+QOjyl6r8
MbdCdTLyR6h97p3YdXHVrbHhbaqe2nv1xe6o/VY52W1h0Caiy+d2rCsz3w0uAswx6Trp7O5oGLBr
oQaHm3t+JJvpmT0Gx+2QeWstrC4bEyS9N+SWCmVSTS2T486MpQllPgSXIpo0JKmh8clRyTecOq6i
lc1RNA/Syt44aj4sY8oPk9bEOCstHGL8cqsWhDXOaHkXUgNgPQbGrQM//6wY1B9xZnBKlWYmz8hK
nLPYLz1siUviowhzJgzro0Uap/mRB7WCaCCH921vADHoXzOxM/SG7ActSBrdE9lRU6pneZaD84Jh
INBLl6vSgAcphrQMe8RXW6X5Zub+pygCOCkR8kbuJYWGAlxUeUxunArR/2r8ZAUDIHL2PfFcLl2N
gC+VLhQ7/6H7w7zx+2UDAD9N6Y2eypBG1mZcrHMzOeoRV9c9bTMo0UbXIL45omwgZ+FnuXOvjQR9
jRqd9KkvWddl7Rl8bPXEzenmluwGg6QCH85Gli+ToT6Su2BZROFlEHhzs4m/dnL53XDKDPwbJsJQ
YYVQRs0McEM086anBKwybYTSURsDK5iyAMicIZqlcGnkQrml01ibVfXwOdfUZtIqOWT7ERWeeixm
Q9+uI3eUaVeQz7q4++6LyMsUMVhqYo+ZEZZpBMcOYZpJuBaKuM0mgMMMdGGVuBVJIrbrRZQXIf/Z
i7hvEBFgOhh3NSFhh1HEJCFILNxSJUglboQOtMSj+ZtNQIl9zLVCgKlI1QWfD18DQk+HELQUsSgf
eOaNbTdzCFNtEa82o3xZOdq3QUSyng74GIjoVooGaZ2JiDcl9G0JgfVG2vqExLaIjfMECGyii4jZ
FbHzKKJoPArmpQsHIhQRdkKoHcqE+TZJyrRQqnEiZUTkiYjNBxGlq4TrIc1RfDwieHDPiPC4vwhV
WYZjId/SoBn+v0k/H0OBnYQ6mHl/0u3OsyCtP2ZvWHd/64d+P9CvGXrPL2HDcF7nsvef6Z4e+Lsh
4htYhM0d7D/q2qpBLdzB6uX+RcIaZ6n3+G1JQcqDXgZENEDk71/PUQQxR7+ahd8/4Fvy4ttxfv0E
u2iK/NuL8OXvzAS/82wqbERL6I0g53t4UmodL6YCniKiJfxPo8+BF1PFOz5bLm8f4e885t/5mX8w
FcI2au+psD7AjKBJnODs/vVmKmh1sTByMh9m/dDmAI454d/ey4HFQKSIJsP9C57Ei+XAzrB4AbDA
dzjAhcAkPKzQVyfWX5wOr/eExl8ZAWWe8cXTI0toWUL9B9jncDcDc7D/uYCYEVgfXV2/WAiCv8wZ
Cm/oME8EmjdZu3vuBg37YNIw2/zFJCgcGQaLAWDzUHcDbK49J8EW2plQYElX719irzy/LNkUQkGd
xfKQTB/euai9zvL/+TUJE86WSfKxkn54vZ4EFdFhxPRs7eEeOrxJkB8O7H3ORQcyBX9nbodfrARI
hnixIcgM+H6Ql8ObMsg/XwnOB3AeCg1UNXbekByMFEfQXHcOdTuI0sjeZwI95xgiargmi9frMAGj
RbJl26Dr90BXgrL/djA/0KRDQKiTkdy/Xp0JIovge6wUIsmD3A7y3gcjOkqWEGhTxXIQrzdBs86h
gRizqR5q1GzsHyyxEmjWIvH/dT6J85BtK8bDdXyAt8PDEt3ndqCeCy8Oxf2HhSASstdxAqcF4dR9
2/RTnH54U/FGJfSf3xGseZuLUP7V8cjJQBJBX6B8qMfj4wfbZz2Y1PcV06Bg9bggXq0HkUraNBWw
Kw70eBQevHtelMYH2i5FFiWIDrzIE15sCiZB3KSEFAd7R+wPrJBLikYRKOKvnl6ECZSZLO3xDD68
w0AwdvdbAsgJitogtpVvnl7/gO6tRofN4915oNtAtLbsNwcaT8p5SGWTEqV4sbFebgMQWRxTEAQ9
0DlQ9keVVMAEhCVxjPjFHBgfoKlzXgI9idehQgqC+bXncjA/0IyFqq/8CCm8Xg4ihzJMKPgHC7UK
TZq9J8GmvV+VrUdw6XW8hNQ4N6cJKeZQgwR178ORSoww4LJQLH/YFDvuR2iFFk2Ij/WJQz0f9t8U
RAKcDTzn4xn5BmdT4YYYCrIPhwosPCb7+wWNYI2EA9YjxPR6PQA2yibIwn2rDBvwACOG/XNq+QNm
gUjDPu6JN7elQFz5tg6r6EC3w2NRYJ+VAM4mDkYL+ZT715uVgHMCsmsaBKsDnYRH2GefSdA/0FuA
GuoTxPQaZ+OOoIWNahXnhngdasyg7Z9J0XlngKtyOOxOJ0WhWlZlIu2DPR73z6TQTURnhsPxEWR5
vR5IqAzCbHoWDzVmeMO4/OfoijgZFOJkSJL3rzcXpZBWQnKd+PFAT4ZHLHSfk8FCJMp0TOTrH7bD
m5XAJUJLBgfDIfM2xEK+/xvtNxXEAxBcn04G7oMXySWbApN0bpPHpuLDixmETcV+2QQ4vO7gmE2T
zcN6eAM24KiIDYIO1HSom2J/mIHbEGbKzz3xphghcFd0Rjg4DhVneNP3/s+PR04GAgKyiF+dDMoH
UYrQkUI51JWwdwitsRIcSnPU3h7uCBb9mzOBCJoW/4dE/gDPhP0PRhuxgnsCy2NZ6s0kKB9AH8Cj
1J8h1UGmVI/Y+D53BBvfRMgITYdfrAemAi1EzsdDjR6FxO1+d4TmfHBoN6FC91iReXNRyqKPk0tE
O9ST4fHI2mMliIK1Bk+Hzpufi/71yWDCgDSAGQ70eBTe6XuuBA2nZNnQ6E96eL1OriG2YXtGD9LB
AvJCZnXPSSCZIpXCd/4RZ9lxPKKuBZHHeTg0Dja53h97pDahMBfUJ17dkywEhd5tKjePafeB7gmh
XbvnctAFg0+kzr+uV+MJpgnPy4eT40CnQntI/fc4IzUD/oJqch/CeRSv18eDACA5OiD/Hmwc/XB4
7zEJ1G0hubP2sXq9f72BGdQPbAxc4EVhl7V3eCGk/hDb7jEJmikAJ0VHuOFhzb8+H8itIVqzTA42
bhKOHHueDPAXaOSlTP8ApezC4/kmZ4cw0eB1qBfFIzK6z3oQGTYULlG7fXrU19ETtsPMw8GisPr+
gYP9QdfQkqNB7GES3gQO99cpXdeigeQwT4b97wh8enTE6w108u5fb45HMiqhr6cJ95SDnARj75iB
OwK2hkmN5hcxg4AeiRjok3mIMQ/1ZDAePtgeJ4OgOUFiI4h8vCneJJeUr8FbiJ4OdhL2j6Nxh0eG
SDznqzia6hTfsFBgONin3ztigszh2NC4yJgejgQe9eXlIBMxITVtP+Ldfyti+hs/9LP3GE+C+O6+
NRkjz2d+IX/5A099u28HeGxCXd/9+1/3nccvflKYiTyM/WAgIr7+z0tvkfuw8Nl3n8LE+3d6/P3H
R3z75i/e7Om5nv5xFWzLm/IWIYJ7e5THDyrEzf/9r/+N+b+7m+d908JuWRTUn/5ttxHKz0jp96Pn
Qbp9GkhMjRhcxD5P/7bP4MnNXVY+DfRscFbTn/P41sLlb33yiRA6exrn2dhcXnuPPb2Jb1r+JNXT
WM/GZ2/tP34WN9WbPymzTpDxDoOndYmkbrbTblscZ3u/xWwb/3GWlTvnnwxq7/Hn8R+zrGTxPI31
bP65jPYef1Fuq3TX4MQ3ew++jLdp+jTOsw/+Htt11STfs/iufju8YDfv/dHXSb4tg5v4aag/P70g
ze4/fDrsmHTBv9x76ONtuWPORYF0/6GD1NtxEIius73HPrmJdpxhooviHYauqu2uOXmPDXqSVX/8
b+pt4+2umXmPLXp6c8cB/DQPzxbie2zR05tyl9+X0Ozee97F2Hm263QXHNv9h9+md9ltsOv0Eky9
dxi/vN3ePQ3057wLnsv+g2d89qdxno39Htv0NNs5J++xSxkaTdXtsOOTv8dOPbvJdyx0AUXuPeFn
2/bmbeyIoMJ7bNENtsLejuNLVB72/uTn8c3tLh1bAVO/w+BNsiu4E4XZvQe/DAgdq+Bux8yIct/e
41/d3JakBGm94y7V3mOXCsvoyTYNdr7Be2zVhzco05vybudBJrqU3mGa0j9mwdbbNUvvsWv/jrH2
fTa3RwIl3uP37pTv8Q4nTVD9sfkeVPmuuXqPzSye43fOVu/wFJiITG7K77ttRN5jW/MMf2FU8j5P
gYjh+LT8/7wiRf1n/y3h3+zMCfV32dRgGLsCNlG02f+TB1UUDFnzNNSziXmXvZzFN7uiB1H52P+z
E5gkOy54Ub3Yf/D6Jg2q+KapngZ7NjXvsnV/pye/74r/uPVvdk2NgPP3nhoMXrjDdgRtAiHff/QG
y6IdV7xof36HwQGIkl24nFCd2Hv4T4zQ7NqrQi9h79G/4lT0NMyfi9F4j336GxXn3y/FXbDszzL/
W7D2SdJw16+9xKLFT9zG25vyP/8HAAD//w==</cx:binary>
              </cx:geoCache>
            </cx:geography>
          </cx:layoutPr>
          <cx:valueColors>
            <cx:minColor>
              <a:schemeClr val="accent1">
                <a:lumMod val="40000"/>
                <a:lumOff val="60000"/>
              </a:schemeClr>
            </cx:minColor>
            <cx:maxColor>
              <a:schemeClr val="accent1">
                <a:lumMod val="75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1.xml"/><Relationship Id="rId9" Type="http://schemas.microsoft.com/office/2014/relationships/chartEx" Target="../charts/chartEx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0</xdr:colOff>
      <xdr:row>37</xdr:row>
      <xdr:rowOff>170330</xdr:rowOff>
    </xdr:to>
    <xdr:sp macro="" textlink="">
      <xdr:nvSpPr>
        <xdr:cNvPr id="3" name="Rectangle 2">
          <a:extLst>
            <a:ext uri="{FF2B5EF4-FFF2-40B4-BE49-F238E27FC236}">
              <a16:creationId xmlns:a16="http://schemas.microsoft.com/office/drawing/2014/main" id="{0CF71489-D0B4-4A24-B5DC-FE6791949FB6}"/>
            </a:ext>
          </a:extLst>
        </xdr:cNvPr>
        <xdr:cNvSpPr/>
      </xdr:nvSpPr>
      <xdr:spPr>
        <a:xfrm>
          <a:off x="7620" y="0"/>
          <a:ext cx="13511156" cy="6804212"/>
        </a:xfrm>
        <a:prstGeom prst="rect">
          <a:avLst/>
        </a:prstGeom>
        <a:solidFill>
          <a:srgbClr val="F8FAFC"/>
        </a:solidFill>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1100">
              <a:solidFill>
                <a:schemeClr val="bg1">
                  <a:lumMod val="95000"/>
                </a:schemeClr>
              </a:solidFill>
            </a:rPr>
            <a:t> </a:t>
          </a:r>
        </a:p>
      </xdr:txBody>
    </xdr:sp>
    <xdr:clientData/>
  </xdr:twoCellAnchor>
  <xdr:twoCellAnchor>
    <xdr:from>
      <xdr:col>0</xdr:col>
      <xdr:colOff>0</xdr:colOff>
      <xdr:row>0</xdr:row>
      <xdr:rowOff>0</xdr:rowOff>
    </xdr:from>
    <xdr:to>
      <xdr:col>3</xdr:col>
      <xdr:colOff>107576</xdr:colOff>
      <xdr:row>37</xdr:row>
      <xdr:rowOff>161364</xdr:rowOff>
    </xdr:to>
    <xdr:sp macro="" textlink="">
      <xdr:nvSpPr>
        <xdr:cNvPr id="2" name="Rectangle 1">
          <a:extLst>
            <a:ext uri="{FF2B5EF4-FFF2-40B4-BE49-F238E27FC236}">
              <a16:creationId xmlns:a16="http://schemas.microsoft.com/office/drawing/2014/main" id="{685622E4-08D2-C1B3-8C7B-9EB97260768A}"/>
            </a:ext>
          </a:extLst>
        </xdr:cNvPr>
        <xdr:cNvSpPr/>
      </xdr:nvSpPr>
      <xdr:spPr>
        <a:xfrm>
          <a:off x="0" y="0"/>
          <a:ext cx="1434352" cy="6795246"/>
        </a:xfrm>
        <a:prstGeom prst="rect">
          <a:avLst/>
        </a:prstGeom>
        <a:solidFill>
          <a:srgbClr val="1E3A8A"/>
        </a:solidFill>
        <a:effectLst>
          <a:outerShdw blurRad="50800" dist="38100" algn="l"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12550</xdr:rowOff>
    </xdr:from>
    <xdr:to>
      <xdr:col>1</xdr:col>
      <xdr:colOff>762000</xdr:colOff>
      <xdr:row>4</xdr:row>
      <xdr:rowOff>10160</xdr:rowOff>
    </xdr:to>
    <xdr:sp macro="" textlink="pivot_backend!G4">
      <xdr:nvSpPr>
        <xdr:cNvPr id="6" name="TextBox 5">
          <a:extLst>
            <a:ext uri="{FF2B5EF4-FFF2-40B4-BE49-F238E27FC236}">
              <a16:creationId xmlns:a16="http://schemas.microsoft.com/office/drawing/2014/main" id="{BA9E4B69-EB21-29E7-AC9F-A55B0FD0981C}"/>
            </a:ext>
          </a:extLst>
        </xdr:cNvPr>
        <xdr:cNvSpPr txBox="1"/>
      </xdr:nvSpPr>
      <xdr:spPr>
        <a:xfrm>
          <a:off x="0" y="378310"/>
          <a:ext cx="914400" cy="36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3A484F-947E-455E-9FD2-D7A498089138}" type="TxLink">
            <a:rPr lang="en-US" sz="2000" b="1" i="0" u="none" strike="noStrike">
              <a:solidFill>
                <a:schemeClr val="bg1"/>
              </a:solidFill>
              <a:latin typeface="Segoe UI Bold" panose="020B0802040204020203" pitchFamily="34" charset="0"/>
              <a:cs typeface="Segoe UI Bold" panose="020B0802040204020203" pitchFamily="34" charset="0"/>
            </a:rPr>
            <a:pPr algn="ctr"/>
            <a:t>2,400</a:t>
          </a:fld>
          <a:endParaRPr lang="en-IN" sz="2000" b="1">
            <a:solidFill>
              <a:schemeClr val="bg1"/>
            </a:solidFill>
            <a:latin typeface="Segoe UI Bold" panose="020B0802040204020203" pitchFamily="34" charset="0"/>
            <a:cs typeface="Segoe UI Bold" panose="020B0802040204020203" pitchFamily="34" charset="0"/>
          </a:endParaRPr>
        </a:p>
      </xdr:txBody>
    </xdr:sp>
    <xdr:clientData/>
  </xdr:twoCellAnchor>
  <xdr:twoCellAnchor>
    <xdr:from>
      <xdr:col>0</xdr:col>
      <xdr:colOff>0</xdr:colOff>
      <xdr:row>5</xdr:row>
      <xdr:rowOff>72034</xdr:rowOff>
    </xdr:from>
    <xdr:to>
      <xdr:col>1</xdr:col>
      <xdr:colOff>843280</xdr:colOff>
      <xdr:row>7</xdr:row>
      <xdr:rowOff>53058</xdr:rowOff>
    </xdr:to>
    <xdr:sp macro="" textlink="pivot_backend!H4">
      <xdr:nvSpPr>
        <xdr:cNvPr id="8" name="TextBox 7">
          <a:extLst>
            <a:ext uri="{FF2B5EF4-FFF2-40B4-BE49-F238E27FC236}">
              <a16:creationId xmlns:a16="http://schemas.microsoft.com/office/drawing/2014/main" id="{56355949-E151-4D5A-90EF-7B01B3B18DFC}"/>
            </a:ext>
          </a:extLst>
        </xdr:cNvPr>
        <xdr:cNvSpPr txBox="1"/>
      </xdr:nvSpPr>
      <xdr:spPr>
        <a:xfrm>
          <a:off x="0" y="965738"/>
          <a:ext cx="993799" cy="338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FBA150-260E-49FB-AC41-F6C03BD0AD27}"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11,997</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8</xdr:row>
      <xdr:rowOff>149247</xdr:rowOff>
    </xdr:from>
    <xdr:to>
      <xdr:col>1</xdr:col>
      <xdr:colOff>1025407</xdr:colOff>
      <xdr:row>10</xdr:row>
      <xdr:rowOff>159926</xdr:rowOff>
    </xdr:to>
    <xdr:sp macro="" textlink="pivot_backend!I4">
      <xdr:nvSpPr>
        <xdr:cNvPr id="9" name="TextBox 8">
          <a:extLst>
            <a:ext uri="{FF2B5EF4-FFF2-40B4-BE49-F238E27FC236}">
              <a16:creationId xmlns:a16="http://schemas.microsoft.com/office/drawing/2014/main" id="{E8BD6AC6-7DAC-4EEB-BEFA-E3694B6BDDD3}"/>
            </a:ext>
          </a:extLst>
        </xdr:cNvPr>
        <xdr:cNvSpPr txBox="1"/>
      </xdr:nvSpPr>
      <xdr:spPr>
        <a:xfrm>
          <a:off x="0" y="1579173"/>
          <a:ext cx="1175926" cy="36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0DA04-CE6E-4CA2-801C-A186B1D18FFD}"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$649.0k</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12</xdr:row>
      <xdr:rowOff>86970</xdr:rowOff>
    </xdr:from>
    <xdr:to>
      <xdr:col>1</xdr:col>
      <xdr:colOff>477520</xdr:colOff>
      <xdr:row>13</xdr:row>
      <xdr:rowOff>170085</xdr:rowOff>
    </xdr:to>
    <xdr:sp macro="" textlink="pivot_backend!J4">
      <xdr:nvSpPr>
        <xdr:cNvPr id="10" name="TextBox 9">
          <a:extLst>
            <a:ext uri="{FF2B5EF4-FFF2-40B4-BE49-F238E27FC236}">
              <a16:creationId xmlns:a16="http://schemas.microsoft.com/office/drawing/2014/main" id="{12157385-CA9E-4A71-86FC-68902CB0AE6F}"/>
            </a:ext>
          </a:extLst>
        </xdr:cNvPr>
        <xdr:cNvSpPr txBox="1"/>
      </xdr:nvSpPr>
      <xdr:spPr>
        <a:xfrm>
          <a:off x="0" y="2231859"/>
          <a:ext cx="628039" cy="261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C2CA12-6BF4-4BA9-A6A3-71F5FB09C2E7}"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4.0</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15981</xdr:colOff>
      <xdr:row>16</xdr:row>
      <xdr:rowOff>49277</xdr:rowOff>
    </xdr:from>
    <xdr:to>
      <xdr:col>1</xdr:col>
      <xdr:colOff>435081</xdr:colOff>
      <xdr:row>17</xdr:row>
      <xdr:rowOff>94997</xdr:rowOff>
    </xdr:to>
    <xdr:sp macro="" textlink="pivot_backend!K4">
      <xdr:nvSpPr>
        <xdr:cNvPr id="11" name="TextBox 10">
          <a:extLst>
            <a:ext uri="{FF2B5EF4-FFF2-40B4-BE49-F238E27FC236}">
              <a16:creationId xmlns:a16="http://schemas.microsoft.com/office/drawing/2014/main" id="{267CB9C3-3EFC-44A4-BFE2-83B171407EEE}"/>
            </a:ext>
          </a:extLst>
        </xdr:cNvPr>
        <xdr:cNvSpPr txBox="1"/>
      </xdr:nvSpPr>
      <xdr:spPr>
        <a:xfrm>
          <a:off x="15981" y="2909129"/>
          <a:ext cx="569619" cy="22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C507069-FA94-4CEA-81FC-F0CD33B87EA1}" type="TxLink">
            <a:rPr lang="en-US" sz="2000" b="1" i="0" u="none" strike="noStrike">
              <a:solidFill>
                <a:schemeClr val="bg1"/>
              </a:solidFill>
              <a:latin typeface="Segoe UI Bold" panose="020B0802040204020203" pitchFamily="34" charset="0"/>
              <a:ea typeface="+mn-ea"/>
              <a:cs typeface="Segoe UI Bold" panose="020B0802040204020203" pitchFamily="34" charset="0"/>
            </a:rPr>
            <a:pPr marL="0" indent="0" algn="ctr"/>
            <a:t>2.3</a:t>
          </a:fld>
          <a:endParaRPr lang="en-IN" sz="2000" b="1" i="0" u="none" strike="noStrike">
            <a:solidFill>
              <a:schemeClr val="bg1"/>
            </a:solidFill>
            <a:latin typeface="Segoe UI Bold" panose="020B0802040204020203" pitchFamily="34" charset="0"/>
            <a:ea typeface="+mn-ea"/>
            <a:cs typeface="Segoe UI Bold" panose="020B0802040204020203" pitchFamily="34" charset="0"/>
          </a:endParaRPr>
        </a:p>
      </xdr:txBody>
    </xdr:sp>
    <xdr:clientData/>
  </xdr:twoCellAnchor>
  <xdr:twoCellAnchor>
    <xdr:from>
      <xdr:col>0</xdr:col>
      <xdr:colOff>0</xdr:colOff>
      <xdr:row>0</xdr:row>
      <xdr:rowOff>141044</xdr:rowOff>
    </xdr:from>
    <xdr:to>
      <xdr:col>1</xdr:col>
      <xdr:colOff>815340</xdr:colOff>
      <xdr:row>2</xdr:row>
      <xdr:rowOff>26744</xdr:rowOff>
    </xdr:to>
    <xdr:sp macro="" textlink="pivot_backend!G4">
      <xdr:nvSpPr>
        <xdr:cNvPr id="13" name="TextBox 12">
          <a:extLst>
            <a:ext uri="{FF2B5EF4-FFF2-40B4-BE49-F238E27FC236}">
              <a16:creationId xmlns:a16="http://schemas.microsoft.com/office/drawing/2014/main" id="{FE8EC2C4-6F0A-4F2A-9B57-1CD0FE95C835}"/>
            </a:ext>
          </a:extLst>
        </xdr:cNvPr>
        <xdr:cNvSpPr txBox="1"/>
      </xdr:nvSpPr>
      <xdr:spPr>
        <a:xfrm>
          <a:off x="0" y="141044"/>
          <a:ext cx="9677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59E0B"/>
              </a:solidFill>
              <a:latin typeface="Font: Segoe UI Semibold"/>
            </a:rPr>
            <a:t>🛒</a:t>
          </a:r>
          <a:r>
            <a:rPr lang="en-IN" sz="1400" b="1">
              <a:solidFill>
                <a:srgbClr val="E2E8F0"/>
              </a:solidFill>
              <a:latin typeface="Font: Segoe UI Semibold"/>
            </a:rPr>
            <a:t> Orders</a:t>
          </a:r>
        </a:p>
      </xdr:txBody>
    </xdr:sp>
    <xdr:clientData/>
  </xdr:twoCellAnchor>
  <xdr:twoCellAnchor>
    <xdr:from>
      <xdr:col>0</xdr:col>
      <xdr:colOff>0</xdr:colOff>
      <xdr:row>4</xdr:row>
      <xdr:rowOff>24499</xdr:rowOff>
    </xdr:from>
    <xdr:to>
      <xdr:col>1</xdr:col>
      <xdr:colOff>934720</xdr:colOff>
      <xdr:row>5</xdr:row>
      <xdr:rowOff>80528</xdr:rowOff>
    </xdr:to>
    <xdr:sp macro="" textlink="pivot_backend!G4">
      <xdr:nvSpPr>
        <xdr:cNvPr id="15" name="TextBox 14">
          <a:extLst>
            <a:ext uri="{FF2B5EF4-FFF2-40B4-BE49-F238E27FC236}">
              <a16:creationId xmlns:a16="http://schemas.microsoft.com/office/drawing/2014/main" id="{497EE589-E499-4B81-BD61-CF9D7B7C27EC}"/>
            </a:ext>
          </a:extLst>
        </xdr:cNvPr>
        <xdr:cNvSpPr txBox="1"/>
      </xdr:nvSpPr>
      <xdr:spPr>
        <a:xfrm>
          <a:off x="0" y="739462"/>
          <a:ext cx="1085239" cy="23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F59E0B"/>
              </a:solidFill>
              <a:latin typeface="Font: Segoe UI Semibold"/>
            </a:rPr>
            <a:t>👕</a:t>
          </a:r>
          <a:r>
            <a:rPr lang="en-IN" sz="1400" b="1">
              <a:solidFill>
                <a:srgbClr val="E2E8F0"/>
              </a:solidFill>
              <a:latin typeface="Font: Segoe UI Semibold"/>
            </a:rPr>
            <a:t>Quantity</a:t>
          </a:r>
        </a:p>
      </xdr:txBody>
    </xdr:sp>
    <xdr:clientData/>
  </xdr:twoCellAnchor>
  <xdr:twoCellAnchor>
    <xdr:from>
      <xdr:col>0</xdr:col>
      <xdr:colOff>0</xdr:colOff>
      <xdr:row>7</xdr:row>
      <xdr:rowOff>113403</xdr:rowOff>
    </xdr:from>
    <xdr:to>
      <xdr:col>1</xdr:col>
      <xdr:colOff>874888</xdr:colOff>
      <xdr:row>9</xdr:row>
      <xdr:rowOff>0</xdr:rowOff>
    </xdr:to>
    <xdr:sp macro="" textlink="pivot_backend!G4">
      <xdr:nvSpPr>
        <xdr:cNvPr id="16" name="TextBox 15">
          <a:extLst>
            <a:ext uri="{FF2B5EF4-FFF2-40B4-BE49-F238E27FC236}">
              <a16:creationId xmlns:a16="http://schemas.microsoft.com/office/drawing/2014/main" id="{CA19231A-455D-427C-A6B7-A8C466604D53}"/>
            </a:ext>
          </a:extLst>
        </xdr:cNvPr>
        <xdr:cNvSpPr txBox="1"/>
      </xdr:nvSpPr>
      <xdr:spPr>
        <a:xfrm>
          <a:off x="0" y="1364588"/>
          <a:ext cx="1025407" cy="244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E2E8F0"/>
              </a:solidFill>
              <a:latin typeface="Font: Segoe UI Semibold"/>
            </a:rPr>
            <a:t>💰Amount</a:t>
          </a:r>
        </a:p>
      </xdr:txBody>
    </xdr:sp>
    <xdr:clientData/>
  </xdr:twoCellAnchor>
  <xdr:twoCellAnchor>
    <xdr:from>
      <xdr:col>0</xdr:col>
      <xdr:colOff>0</xdr:colOff>
      <xdr:row>10</xdr:row>
      <xdr:rowOff>169882</xdr:rowOff>
    </xdr:from>
    <xdr:to>
      <xdr:col>1</xdr:col>
      <xdr:colOff>1120588</xdr:colOff>
      <xdr:row>12</xdr:row>
      <xdr:rowOff>48410</xdr:rowOff>
    </xdr:to>
    <xdr:sp macro="" textlink="pivot_backend!G4">
      <xdr:nvSpPr>
        <xdr:cNvPr id="17" name="TextBox 16">
          <a:extLst>
            <a:ext uri="{FF2B5EF4-FFF2-40B4-BE49-F238E27FC236}">
              <a16:creationId xmlns:a16="http://schemas.microsoft.com/office/drawing/2014/main" id="{E054B7BC-4E3C-4101-ADB0-9B8684E27497}"/>
            </a:ext>
          </a:extLst>
        </xdr:cNvPr>
        <xdr:cNvSpPr txBox="1"/>
      </xdr:nvSpPr>
      <xdr:spPr>
        <a:xfrm>
          <a:off x="0" y="1998682"/>
          <a:ext cx="1272988" cy="24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rgbClr val="E2E8F0"/>
              </a:solidFill>
              <a:latin typeface="Font: Segoe UI Semibold"/>
            </a:rPr>
            <a:t>⭐ Avg.Rating</a:t>
          </a:r>
        </a:p>
      </xdr:txBody>
    </xdr:sp>
    <xdr:clientData/>
  </xdr:twoCellAnchor>
  <xdr:twoCellAnchor>
    <xdr:from>
      <xdr:col>0</xdr:col>
      <xdr:colOff>0</xdr:colOff>
      <xdr:row>14</xdr:row>
      <xdr:rowOff>24738</xdr:rowOff>
    </xdr:from>
    <xdr:to>
      <xdr:col>3</xdr:col>
      <xdr:colOff>20320</xdr:colOff>
      <xdr:row>16</xdr:row>
      <xdr:rowOff>32360</xdr:rowOff>
    </xdr:to>
    <xdr:sp macro="" textlink="pivot_backend!G4">
      <xdr:nvSpPr>
        <xdr:cNvPr id="18" name="TextBox 17">
          <a:extLst>
            <a:ext uri="{FF2B5EF4-FFF2-40B4-BE49-F238E27FC236}">
              <a16:creationId xmlns:a16="http://schemas.microsoft.com/office/drawing/2014/main" id="{405822B5-63D7-491B-82D4-C14E6448CB2A}"/>
            </a:ext>
          </a:extLst>
        </xdr:cNvPr>
        <xdr:cNvSpPr txBox="1"/>
      </xdr:nvSpPr>
      <xdr:spPr>
        <a:xfrm>
          <a:off x="0" y="2527108"/>
          <a:ext cx="1525505" cy="365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rgbClr val="E2E8F0"/>
              </a:solidFill>
              <a:latin typeface="Font: Segoe UI Semibold"/>
            </a:rPr>
            <a:t>📆 Days</a:t>
          </a:r>
          <a:r>
            <a:rPr lang="en-IN" sz="1300" b="1" baseline="0">
              <a:solidFill>
                <a:srgbClr val="E2E8F0"/>
              </a:solidFill>
              <a:latin typeface="Font: Segoe UI Semibold"/>
            </a:rPr>
            <a:t> To Deliver</a:t>
          </a:r>
          <a:endParaRPr lang="en-IN" sz="1300" b="1">
            <a:solidFill>
              <a:srgbClr val="E2E8F0"/>
            </a:solidFill>
            <a:latin typeface="Font: Segoe UI Semibold"/>
          </a:endParaRPr>
        </a:p>
      </xdr:txBody>
    </xdr:sp>
    <xdr:clientData/>
  </xdr:twoCellAnchor>
  <xdr:twoCellAnchor>
    <xdr:from>
      <xdr:col>3</xdr:col>
      <xdr:colOff>312194</xdr:colOff>
      <xdr:row>2</xdr:row>
      <xdr:rowOff>19050</xdr:rowOff>
    </xdr:from>
    <xdr:to>
      <xdr:col>10</xdr:col>
      <xdr:colOff>19792</xdr:colOff>
      <xdr:row>13</xdr:row>
      <xdr:rowOff>147700</xdr:rowOff>
    </xdr:to>
    <xdr:graphicFrame macro="">
      <xdr:nvGraphicFramePr>
        <xdr:cNvPr id="19" name="Chart 18">
          <a:extLst>
            <a:ext uri="{FF2B5EF4-FFF2-40B4-BE49-F238E27FC236}">
              <a16:creationId xmlns:a16="http://schemas.microsoft.com/office/drawing/2014/main" id="{7B7486C7-C0C5-464B-9118-F93B03960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110341</xdr:colOff>
      <xdr:row>2</xdr:row>
      <xdr:rowOff>23380</xdr:rowOff>
    </xdr:from>
    <xdr:to>
      <xdr:col>16</xdr:col>
      <xdr:colOff>367640</xdr:colOff>
      <xdr:row>13</xdr:row>
      <xdr:rowOff>156111</xdr:rowOff>
    </xdr:to>
    <xdr:sp macro="" textlink="">
      <xdr:nvSpPr>
        <xdr:cNvPr id="20" name="Rectangle 19">
          <a:extLst>
            <a:ext uri="{FF2B5EF4-FFF2-40B4-BE49-F238E27FC236}">
              <a16:creationId xmlns:a16="http://schemas.microsoft.com/office/drawing/2014/main" id="{95F81786-4F54-CE3D-03D7-C32AE1C1E2C0}"/>
            </a:ext>
          </a:extLst>
        </xdr:cNvPr>
        <xdr:cNvSpPr/>
      </xdr:nvSpPr>
      <xdr:spPr>
        <a:xfrm>
          <a:off x="5977741" y="385330"/>
          <a:ext cx="3914899" cy="212345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334155"/>
              </a:solidFill>
              <a:latin typeface="+mj-lt"/>
            </a:rPr>
            <a:t>How</a:t>
          </a:r>
          <a:r>
            <a:rPr lang="en-IN" sz="1400" b="1" baseline="0">
              <a:solidFill>
                <a:srgbClr val="334155"/>
              </a:solidFill>
              <a:latin typeface="+mj-lt"/>
            </a:rPr>
            <a:t> Customers Like to Buy</a:t>
          </a:r>
          <a:endParaRPr lang="en-IN" sz="1400" b="1">
            <a:solidFill>
              <a:srgbClr val="334155"/>
            </a:solidFill>
            <a:latin typeface="+mj-lt"/>
          </a:endParaRPr>
        </a:p>
      </xdr:txBody>
    </xdr:sp>
    <xdr:clientData/>
  </xdr:twoCellAnchor>
  <mc:AlternateContent xmlns:mc="http://schemas.openxmlformats.org/markup-compatibility/2006">
    <mc:Choice xmlns:a14="http://schemas.microsoft.com/office/drawing/2010/main" Requires="a14">
      <xdr:twoCellAnchor editAs="oneCell">
        <xdr:from>
          <xdr:col>10</xdr:col>
          <xdr:colOff>434404</xdr:colOff>
          <xdr:row>4</xdr:row>
          <xdr:rowOff>113078</xdr:rowOff>
        </xdr:from>
        <xdr:to>
          <xdr:col>16</xdr:col>
          <xdr:colOff>31171</xdr:colOff>
          <xdr:row>13</xdr:row>
          <xdr:rowOff>42789</xdr:rowOff>
        </xdr:to>
        <xdr:pic>
          <xdr:nvPicPr>
            <xdr:cNvPr id="7" name="Picture 6">
              <a:extLst>
                <a:ext uri="{FF2B5EF4-FFF2-40B4-BE49-F238E27FC236}">
                  <a16:creationId xmlns:a16="http://schemas.microsoft.com/office/drawing/2014/main" id="{65EED5E2-3988-0FD4-21A8-3FB31FF6B925}"/>
                </a:ext>
              </a:extLst>
            </xdr:cNvPr>
            <xdr:cNvPicPr>
              <a:picLocks noChangeAspect="1" noChangeArrowheads="1"/>
              <a:extLst>
                <a:ext uri="{84589F7E-364E-4C9E-8A38-B11213B215E9}">
                  <a14:cameraTool cellRange="pivot_backend!$N$10:$R$15" spid="_x0000_s1048"/>
                </a:ext>
              </a:extLst>
            </xdr:cNvPicPr>
          </xdr:nvPicPr>
          <xdr:blipFill>
            <a:blip xmlns:r="http://schemas.openxmlformats.org/officeDocument/2006/relationships" r:embed="rId2"/>
            <a:srcRect/>
            <a:stretch>
              <a:fillRect/>
            </a:stretch>
          </xdr:blipFill>
          <xdr:spPr bwMode="auto">
            <a:xfrm>
              <a:off x="6301804" y="836978"/>
              <a:ext cx="3254367" cy="15584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556869</xdr:colOff>
      <xdr:row>2</xdr:row>
      <xdr:rowOff>31428</xdr:rowOff>
    </xdr:from>
    <xdr:to>
      <xdr:col>22</xdr:col>
      <xdr:colOff>255150</xdr:colOff>
      <xdr:row>13</xdr:row>
      <xdr:rowOff>160447</xdr:rowOff>
    </xdr:to>
    <xdr:graphicFrame macro="">
      <xdr:nvGraphicFramePr>
        <xdr:cNvPr id="22" name="Chart 21">
          <a:extLst>
            <a:ext uri="{FF2B5EF4-FFF2-40B4-BE49-F238E27FC236}">
              <a16:creationId xmlns:a16="http://schemas.microsoft.com/office/drawing/2014/main" id="{B53FC305-A7C0-46B1-8071-0FD0C6E8C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139356</xdr:colOff>
      <xdr:row>14</xdr:row>
      <xdr:rowOff>65852</xdr:rowOff>
    </xdr:from>
    <xdr:to>
      <xdr:col>16</xdr:col>
      <xdr:colOff>382849</xdr:colOff>
      <xdr:row>37</xdr:row>
      <xdr:rowOff>56445</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B3AB1063-69AC-4FE8-A9B1-12B4EB3D35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907696" y="2626172"/>
              <a:ext cx="3901093" cy="41968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555495</xdr:colOff>
      <xdr:row>14</xdr:row>
      <xdr:rowOff>66419</xdr:rowOff>
    </xdr:from>
    <xdr:to>
      <xdr:col>22</xdr:col>
      <xdr:colOff>258612</xdr:colOff>
      <xdr:row>26</xdr:row>
      <xdr:rowOff>94074</xdr:rowOff>
    </xdr:to>
    <xdr:graphicFrame macro="">
      <xdr:nvGraphicFramePr>
        <xdr:cNvPr id="28" name="Chart 27">
          <a:extLst>
            <a:ext uri="{FF2B5EF4-FFF2-40B4-BE49-F238E27FC236}">
              <a16:creationId xmlns:a16="http://schemas.microsoft.com/office/drawing/2014/main" id="{381926F8-5480-4416-87A6-48C392207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574797</xdr:colOff>
      <xdr:row>27</xdr:row>
      <xdr:rowOff>116479</xdr:rowOff>
    </xdr:from>
    <xdr:to>
      <xdr:col>22</xdr:col>
      <xdr:colOff>268018</xdr:colOff>
      <xdr:row>37</xdr:row>
      <xdr:rowOff>23166</xdr:rowOff>
    </xdr:to>
    <xdr:graphicFrame macro="">
      <xdr:nvGraphicFramePr>
        <xdr:cNvPr id="29" name="Chart 28">
          <a:extLst>
            <a:ext uri="{FF2B5EF4-FFF2-40B4-BE49-F238E27FC236}">
              <a16:creationId xmlns:a16="http://schemas.microsoft.com/office/drawing/2014/main" id="{B24EE936-F083-4FAB-97A9-426B14806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71448</xdr:colOff>
      <xdr:row>18</xdr:row>
      <xdr:rowOff>91442</xdr:rowOff>
    </xdr:from>
    <xdr:to>
      <xdr:col>3</xdr:col>
      <xdr:colOff>9406</xdr:colOff>
      <xdr:row>28</xdr:row>
      <xdr:rowOff>110490</xdr:rowOff>
    </xdr:to>
    <mc:AlternateContent xmlns:mc="http://schemas.openxmlformats.org/markup-compatibility/2006" xmlns:a14="http://schemas.microsoft.com/office/drawing/2010/main">
      <mc:Choice Requires="a14">
        <xdr:graphicFrame macro="">
          <xdr:nvGraphicFramePr>
            <xdr:cNvPr id="30" name="Order Mode">
              <a:extLst>
                <a:ext uri="{FF2B5EF4-FFF2-40B4-BE49-F238E27FC236}">
                  <a16:creationId xmlns:a16="http://schemas.microsoft.com/office/drawing/2014/main" id="{90294F18-6A3F-4803-A980-47F4B0F815E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71448" y="3450462"/>
              <a:ext cx="1446407" cy="1885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76227</xdr:colOff>
      <xdr:row>28</xdr:row>
      <xdr:rowOff>152844</xdr:rowOff>
    </xdr:from>
    <xdr:to>
      <xdr:col>3</xdr:col>
      <xdr:colOff>9408</xdr:colOff>
      <xdr:row>37</xdr:row>
      <xdr:rowOff>95133</xdr:rowOff>
    </xdr:to>
    <mc:AlternateContent xmlns:mc="http://schemas.openxmlformats.org/markup-compatibility/2006" xmlns:a14="http://schemas.microsoft.com/office/drawing/2010/main">
      <mc:Choice Requires="a14">
        <xdr:graphicFrame macro="">
          <xdr:nvGraphicFramePr>
            <xdr:cNvPr id="31" name="Gender Value">
              <a:extLst>
                <a:ext uri="{FF2B5EF4-FFF2-40B4-BE49-F238E27FC236}">
                  <a16:creationId xmlns:a16="http://schemas.microsoft.com/office/drawing/2014/main" id="{A33BDD9E-1548-4771-8657-55B6B4C175C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76227" y="5377987"/>
              <a:ext cx="1441630" cy="162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306127</xdr:colOff>
      <xdr:row>14</xdr:row>
      <xdr:rowOff>69760</xdr:rowOff>
    </xdr:from>
    <xdr:to>
      <xdr:col>10</xdr:col>
      <xdr:colOff>38117</xdr:colOff>
      <xdr:row>37</xdr:row>
      <xdr:rowOff>47036</xdr:rowOff>
    </xdr:to>
    <xdr:graphicFrame macro="">
      <xdr:nvGraphicFramePr>
        <xdr:cNvPr id="33" name="Chart 32">
          <a:extLst>
            <a:ext uri="{FF2B5EF4-FFF2-40B4-BE49-F238E27FC236}">
              <a16:creationId xmlns:a16="http://schemas.microsoft.com/office/drawing/2014/main" id="{8E9A8AAC-674E-4BA9-80F8-62098B0AA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352970</xdr:colOff>
      <xdr:row>29</xdr:row>
      <xdr:rowOff>12191</xdr:rowOff>
    </xdr:from>
    <xdr:to>
      <xdr:col>7</xdr:col>
      <xdr:colOff>522304</xdr:colOff>
      <xdr:row>36</xdr:row>
      <xdr:rowOff>57692</xdr:rowOff>
    </xdr:to>
    <xdr:graphicFrame macro="">
      <xdr:nvGraphicFramePr>
        <xdr:cNvPr id="34" name="Chart 33">
          <a:extLst>
            <a:ext uri="{FF2B5EF4-FFF2-40B4-BE49-F238E27FC236}">
              <a16:creationId xmlns:a16="http://schemas.microsoft.com/office/drawing/2014/main" id="{D523B36F-CAA5-438A-AA8A-415E1B93D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519953</xdr:colOff>
      <xdr:row>22</xdr:row>
      <xdr:rowOff>116542</xdr:rowOff>
    </xdr:from>
    <xdr:to>
      <xdr:col>16</xdr:col>
      <xdr:colOff>179294</xdr:colOff>
      <xdr:row>28</xdr:row>
      <xdr:rowOff>170330</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800C13E4-B146-43FD-AF7C-E2582FEEB1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726693" y="4139902"/>
              <a:ext cx="878541" cy="11510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refreshedDate="46173.588022222226" createdVersion="8" refreshedVersion="8" minRefreshableVersion="3" recordCount="2400" xr:uid="{D2B15519-0A0E-49F2-A252-381D9A210E55}">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78295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F1F20B-23EF-4250-A628-643640115B2F}" name="pivo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C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49790A-5312-4C8E-BD76-CE9938D4B486}" name="pivo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5E75A-EF15-4ABA-8110-A7456A60EFC3}" name="pivo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80:D138"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CD84B0-A869-42D1-A024-99658495260F}" name="pivot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I47:J52"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21" format="0" series="1">
      <pivotArea type="data" outline="0" fieldPosition="0">
        <references count="2">
          <reference field="4294967294" count="1" selected="0">
            <x v="0"/>
          </reference>
          <reference field="14" count="1" selected="0">
            <x v="0"/>
          </reference>
        </references>
      </pivotArea>
    </chartFormat>
    <chartFormat chart="21" format="1" series="1">
      <pivotArea type="data" outline="0" fieldPosition="0">
        <references count="2">
          <reference field="4294967294" count="1" selected="0">
            <x v="0"/>
          </reference>
          <reference field="14" count="1" selected="0">
            <x v="1"/>
          </reference>
        </references>
      </pivotArea>
    </chartFormat>
    <chartFormat chart="21" format="2" series="1">
      <pivotArea type="data" outline="0" fieldPosition="0">
        <references count="2">
          <reference field="4294967294" count="1" selected="0">
            <x v="0"/>
          </reference>
          <reference field="14" count="1" selected="0">
            <x v="2"/>
          </reference>
        </references>
      </pivotArea>
    </chartFormat>
    <chartFormat chart="21" format="3" series="1">
      <pivotArea type="data" outline="0" fieldPosition="0">
        <references count="2">
          <reference field="4294967294" count="1" selected="0">
            <x v="0"/>
          </reference>
          <reference field="14" count="1" selected="0">
            <x v="3"/>
          </reference>
        </references>
      </pivotArea>
    </chartFormat>
    <chartFormat chart="24" format="8" series="1">
      <pivotArea type="data" outline="0" fieldPosition="0">
        <references count="2">
          <reference field="4294967294" count="1" selected="0">
            <x v="0"/>
          </reference>
          <reference field="14" count="1" selected="0">
            <x v="0"/>
          </reference>
        </references>
      </pivotArea>
    </chartFormat>
    <chartFormat chart="24" format="9" series="1">
      <pivotArea type="data" outline="0" fieldPosition="0">
        <references count="2">
          <reference field="4294967294" count="1" selected="0">
            <x v="0"/>
          </reference>
          <reference field="14" count="1" selected="0">
            <x v="1"/>
          </reference>
        </references>
      </pivotArea>
    </chartFormat>
    <chartFormat chart="24" format="10" series="1">
      <pivotArea type="data" outline="0" fieldPosition="0">
        <references count="2">
          <reference field="4294967294" count="1" selected="0">
            <x v="0"/>
          </reference>
          <reference field="14" count="1" selected="0">
            <x v="2"/>
          </reference>
        </references>
      </pivotArea>
    </chartFormat>
    <chartFormat chart="24" format="11" series="1">
      <pivotArea type="data" outline="0" fieldPosition="0">
        <references count="2">
          <reference field="4294967294" count="1" selected="0">
            <x v="0"/>
          </reference>
          <reference field="14" count="1" selected="0">
            <x v="3"/>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4" count="1" selected="0">
            <x v="0"/>
          </reference>
        </references>
      </pivotArea>
    </chartFormat>
    <chartFormat chart="39" format="8">
      <pivotArea type="data" outline="0" fieldPosition="0">
        <references count="2">
          <reference field="4294967294" count="1" selected="0">
            <x v="0"/>
          </reference>
          <reference field="14" count="1" selected="0">
            <x v="1"/>
          </reference>
        </references>
      </pivotArea>
    </chartFormat>
    <chartFormat chart="39" format="9">
      <pivotArea type="data" outline="0" fieldPosition="0">
        <references count="2">
          <reference field="4294967294" count="1" selected="0">
            <x v="0"/>
          </reference>
          <reference field="14" count="1" selected="0">
            <x v="2"/>
          </reference>
        </references>
      </pivotArea>
    </chartFormat>
    <chartFormat chart="3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190A5-FD9D-47F8-85DC-43C3D717128B}" name="pivot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4:B42"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DD2805-33F0-46EF-A791-A9C6C554194A}" name="pivot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0:F72"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13" format="8" series="1">
      <pivotArea type="data" outline="0" fieldPosition="0">
        <references count="2">
          <reference field="4294967294" count="1" selected="0">
            <x v="0"/>
          </reference>
          <reference field="14" count="1" selected="0">
            <x v="0"/>
          </reference>
        </references>
      </pivotArea>
    </chartFormat>
    <chartFormat chart="13" format="9" series="1">
      <pivotArea type="data" outline="0" fieldPosition="0">
        <references count="2">
          <reference field="4294967294" count="1" selected="0">
            <x v="0"/>
          </reference>
          <reference field="14" count="1" selected="0">
            <x v="1"/>
          </reference>
        </references>
      </pivotArea>
    </chartFormat>
    <chartFormat chart="13" format="10" series="1">
      <pivotArea type="data" outline="0" fieldPosition="0">
        <references count="2">
          <reference field="4294967294" count="1" selected="0">
            <x v="0"/>
          </reference>
          <reference field="14" count="1" selected="0">
            <x v="2"/>
          </reference>
        </references>
      </pivotArea>
    </chartFormat>
    <chartFormat chart="1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E18B9-BCD1-4374-BADF-9CA2A211DF0F}" name="pivot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45:M150"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1B184E-7BEA-48D7-BC56-C2AC80A05D48}" name="pivot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L17"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999EFC-81CA-4D36-B46F-F4A60D2487E6}" name="pivo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5:B16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83A9724B-6AC2-4CCB-94A9-B3D4A7ABEED3}" sourceName="Order Mode">
  <pivotTables>
    <pivotTable tabId="5" name="pivotSatisfaction"/>
    <pivotTable tabId="5" name="pivotDuration"/>
    <pivotTable tabId="5" name="pivotMap"/>
    <pivotTable tabId="5" name="pivotQuantity"/>
    <pivotTable tabId="5" name="pivotTrend"/>
    <pivotTable tabId="5" name="pivotGender"/>
    <pivotTable tabId="5" name="pivotProducts"/>
  </pivotTables>
  <data>
    <tabular pivotCacheId="178295568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FD3971A-FBED-4661-A619-5F5BCBEAF14E}" sourceName="Gender Value">
  <pivotTables>
    <pivotTable tabId="5" name="pivotSatisfaction"/>
    <pivotTable tabId="5" name="pivotDuration"/>
    <pivotTable tabId="5" name="pivotMap"/>
    <pivotTable tabId="5" name="pivotQuantity"/>
    <pivotTable tabId="5" name="pivotTrend"/>
  </pivotTables>
  <data>
    <tabular pivotCacheId="178295568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E88AC82-0E3A-4D6C-991F-F18BBB1A778B}" cache="Slicer_Order_Mode" caption="Order Mode" style="SlicerStyleDark1" rowHeight="247650"/>
  <slicer name="Gender Value" xr10:uid="{32AE8938-7718-4196-8841-08F11721C62C}" cache="Slicer_Gender_Value" caption="Customer Gende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C17" sqref="C17"/>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5D70-DF8E-4684-B12B-CC505548A62B}">
  <dimension ref="A2:R161"/>
  <sheetViews>
    <sheetView showGridLines="0" topLeftCell="A39" workbookViewId="0">
      <selection activeCell="B56" sqref="B56"/>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7" max="7" width="12.44140625" bestFit="1" customWidth="1"/>
    <col min="8" max="8" width="15.5546875" bestFit="1" customWidth="1"/>
    <col min="9" max="9" width="12.44140625" bestFit="1" customWidth="1"/>
    <col min="10" max="10" width="14.21875" bestFit="1" customWidth="1"/>
    <col min="11" max="11" width="5" bestFit="1" customWidth="1"/>
    <col min="12" max="12" width="4" bestFit="1" customWidth="1"/>
    <col min="13" max="14" width="10.5546875" bestFit="1" customWidth="1"/>
    <col min="15" max="17" width="9" bestFit="1" customWidth="1"/>
    <col min="18" max="18" width="8.21875" customWidth="1"/>
    <col min="19" max="2401" width="9" bestFit="1" customWidth="1"/>
    <col min="2402" max="2402" width="10.5546875" bestFit="1" customWidth="1"/>
  </cols>
  <sheetData>
    <row r="2" spans="1:18" x14ac:dyDescent="0.3">
      <c r="G2" t="s">
        <v>2509</v>
      </c>
    </row>
    <row r="3" spans="1:18" x14ac:dyDescent="0.3">
      <c r="A3" t="s">
        <v>2504</v>
      </c>
      <c r="B3" t="s">
        <v>2505</v>
      </c>
      <c r="C3" t="s">
        <v>2506</v>
      </c>
      <c r="D3" t="s">
        <v>2507</v>
      </c>
      <c r="E3" t="s">
        <v>2508</v>
      </c>
      <c r="G3" t="s">
        <v>2503</v>
      </c>
      <c r="H3" t="s">
        <v>2</v>
      </c>
      <c r="I3" t="s">
        <v>4</v>
      </c>
      <c r="J3" t="s">
        <v>2510</v>
      </c>
      <c r="K3" t="s">
        <v>2511</v>
      </c>
    </row>
    <row r="4" spans="1:18"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8" spans="1:18" x14ac:dyDescent="0.3">
      <c r="N8" s="4" t="s">
        <v>2515</v>
      </c>
    </row>
    <row r="9" spans="1:18" ht="15" thickBot="1" x14ac:dyDescent="0.35"/>
    <row r="10" spans="1:18" ht="15.6" thickTop="1" thickBot="1" x14ac:dyDescent="0.35">
      <c r="A10" s="3" t="s">
        <v>2512</v>
      </c>
      <c r="B10" t="s">
        <v>2505</v>
      </c>
      <c r="C10" t="s">
        <v>2506</v>
      </c>
      <c r="G10" s="3" t="s">
        <v>2506</v>
      </c>
      <c r="H10" s="3" t="s">
        <v>2514</v>
      </c>
      <c r="N10" s="10"/>
      <c r="O10" s="10" t="str">
        <f t="shared" ref="O10:R15" si="1">H11</f>
        <v>Female</v>
      </c>
      <c r="P10" s="10" t="str">
        <f t="shared" si="1"/>
        <v>Male</v>
      </c>
      <c r="Q10" s="10" t="str">
        <f t="shared" si="1"/>
        <v>Other</v>
      </c>
      <c r="R10" s="10" t="str">
        <f t="shared" si="1"/>
        <v>Unknown</v>
      </c>
    </row>
    <row r="11" spans="1:18" ht="15.6" thickTop="1" thickBot="1" x14ac:dyDescent="0.35">
      <c r="A11" s="4">
        <v>1</v>
      </c>
      <c r="B11">
        <v>546</v>
      </c>
      <c r="C11" s="5">
        <v>32413.300000000003</v>
      </c>
      <c r="G11" s="3" t="s">
        <v>2512</v>
      </c>
      <c r="H11" t="s">
        <v>2516</v>
      </c>
      <c r="I11" t="s">
        <v>2517</v>
      </c>
      <c r="J11" t="s">
        <v>2518</v>
      </c>
      <c r="K11" t="s">
        <v>2519</v>
      </c>
      <c r="L11" t="s">
        <v>2513</v>
      </c>
      <c r="N11" s="10" t="str">
        <f>G12</f>
        <v>App</v>
      </c>
      <c r="O11" s="11">
        <f t="shared" si="1"/>
        <v>0.18961825201634841</v>
      </c>
      <c r="P11" s="11">
        <f t="shared" si="1"/>
        <v>0.12262322351336576</v>
      </c>
      <c r="Q11" s="11">
        <f t="shared" si="1"/>
        <v>1.060537752469185E-2</v>
      </c>
      <c r="R11" s="11">
        <f t="shared" si="1"/>
        <v>3.0599220547662797E-2</v>
      </c>
    </row>
    <row r="12" spans="1:18" ht="15.6" thickTop="1" thickBot="1" x14ac:dyDescent="0.35">
      <c r="A12" s="4">
        <v>2</v>
      </c>
      <c r="B12">
        <v>905</v>
      </c>
      <c r="C12" s="5">
        <v>49562.999999999993</v>
      </c>
      <c r="G12" s="4" t="s">
        <v>18</v>
      </c>
      <c r="H12" s="6">
        <v>0.18961825201634841</v>
      </c>
      <c r="I12" s="6">
        <v>0.12262322351336576</v>
      </c>
      <c r="J12" s="6">
        <v>1.060537752469185E-2</v>
      </c>
      <c r="K12" s="6">
        <v>3.0599220547662797E-2</v>
      </c>
      <c r="L12" s="6">
        <v>0.35344607360206881</v>
      </c>
      <c r="N12" s="10" t="str">
        <f>G13</f>
        <v>Instagram</v>
      </c>
      <c r="O12" s="11">
        <f t="shared" si="1"/>
        <v>5.0283982091147303E-2</v>
      </c>
      <c r="P12" s="11">
        <f t="shared" si="1"/>
        <v>4.3060781812819873E-2</v>
      </c>
      <c r="Q12" s="11">
        <f t="shared" si="1"/>
        <v>1.5320025675641944E-3</v>
      </c>
      <c r="R12" s="11">
        <f t="shared" si="1"/>
        <v>1.7794988689097006E-2</v>
      </c>
    </row>
    <row r="13" spans="1:18" ht="15.6" thickTop="1" thickBot="1" x14ac:dyDescent="0.35">
      <c r="A13" s="4">
        <v>3</v>
      </c>
      <c r="B13">
        <v>796</v>
      </c>
      <c r="C13" s="5">
        <v>41700.400000000016</v>
      </c>
      <c r="G13" s="4" t="s">
        <v>51</v>
      </c>
      <c r="H13" s="6">
        <v>5.0283982091147303E-2</v>
      </c>
      <c r="I13" s="6">
        <v>4.3060781812819873E-2</v>
      </c>
      <c r="J13" s="6">
        <v>1.5320025675641944E-3</v>
      </c>
      <c r="K13" s="6">
        <v>1.7794988689097006E-2</v>
      </c>
      <c r="L13" s="6">
        <v>0.11267175516062837</v>
      </c>
      <c r="N13" s="10" t="str">
        <f>G14</f>
        <v>Partner App</v>
      </c>
      <c r="O13" s="11">
        <f t="shared" si="1"/>
        <v>6.3496059750411282E-2</v>
      </c>
      <c r="P13" s="11">
        <f t="shared" si="1"/>
        <v>4.6071629863988765E-2</v>
      </c>
      <c r="Q13" s="11">
        <f t="shared" si="1"/>
        <v>2.306247051322625E-3</v>
      </c>
      <c r="R13" s="11">
        <f t="shared" si="1"/>
        <v>3.8927934093844286E-3</v>
      </c>
    </row>
    <row r="14" spans="1:18" ht="15.6" thickTop="1" thickBot="1" x14ac:dyDescent="0.35">
      <c r="A14" s="4">
        <v>4</v>
      </c>
      <c r="B14">
        <v>913</v>
      </c>
      <c r="C14" s="5">
        <v>46782.599999999984</v>
      </c>
      <c r="G14" s="4" t="s">
        <v>70</v>
      </c>
      <c r="H14" s="6">
        <v>6.3496059750411282E-2</v>
      </c>
      <c r="I14" s="6">
        <v>4.6071629863988765E-2</v>
      </c>
      <c r="J14" s="6">
        <v>2.306247051322625E-3</v>
      </c>
      <c r="K14" s="6">
        <v>3.8927934093844286E-3</v>
      </c>
      <c r="L14" s="6">
        <v>0.11576673007510711</v>
      </c>
      <c r="N14" s="10" t="str">
        <f>G15</f>
        <v>Target.com</v>
      </c>
      <c r="O14" s="11">
        <f t="shared" si="1"/>
        <v>9.6337892927149532E-2</v>
      </c>
      <c r="P14" s="11">
        <f t="shared" si="1"/>
        <v>6.7920115842382611E-2</v>
      </c>
      <c r="Q14" s="11">
        <f t="shared" si="1"/>
        <v>5.4979832664581261E-3</v>
      </c>
      <c r="R14" s="11">
        <f t="shared" si="1"/>
        <v>1.2933041488102518E-2</v>
      </c>
    </row>
    <row r="15" spans="1:18" ht="15.6" thickTop="1" thickBot="1" x14ac:dyDescent="0.35">
      <c r="A15" s="4">
        <v>5</v>
      </c>
      <c r="B15">
        <v>844</v>
      </c>
      <c r="C15" s="5">
        <v>42676.100000000006</v>
      </c>
      <c r="G15" s="4" t="s">
        <v>40</v>
      </c>
      <c r="H15" s="6">
        <v>9.6337892927149532E-2</v>
      </c>
      <c r="I15" s="6">
        <v>6.7920115842382611E-2</v>
      </c>
      <c r="J15" s="6">
        <v>5.4979832664581261E-3</v>
      </c>
      <c r="K15" s="6">
        <v>1.2933041488102518E-2</v>
      </c>
      <c r="L15" s="6">
        <v>0.1826890335240928</v>
      </c>
      <c r="N15" s="10" t="str">
        <f>G16</f>
        <v>Website</v>
      </c>
      <c r="O15" s="11">
        <f t="shared" si="1"/>
        <v>0.12522098709469262</v>
      </c>
      <c r="P15" s="11">
        <f t="shared" si="1"/>
        <v>9.1492740283116228E-2</v>
      </c>
      <c r="Q15" s="11">
        <f t="shared" si="1"/>
        <v>6.3042760790965081E-3</v>
      </c>
      <c r="R15" s="11">
        <f t="shared" si="1"/>
        <v>1.2408404181197551E-2</v>
      </c>
    </row>
    <row r="16" spans="1:18" ht="15" thickTop="1" x14ac:dyDescent="0.3">
      <c r="A16" s="4">
        <v>6</v>
      </c>
      <c r="B16">
        <v>1202</v>
      </c>
      <c r="C16" s="5">
        <v>62910.7</v>
      </c>
      <c r="G16" s="4" t="s">
        <v>35</v>
      </c>
      <c r="H16" s="6">
        <v>0.12522098709469262</v>
      </c>
      <c r="I16" s="6">
        <v>9.1492740283116228E-2</v>
      </c>
      <c r="J16" s="6">
        <v>6.3042760790965081E-3</v>
      </c>
      <c r="K16" s="6">
        <v>1.2408404181197551E-2</v>
      </c>
      <c r="L16" s="6">
        <v>0.23542640763810288</v>
      </c>
    </row>
    <row r="17" spans="1:12" x14ac:dyDescent="0.3">
      <c r="A17" s="4">
        <v>7</v>
      </c>
      <c r="B17">
        <v>935</v>
      </c>
      <c r="C17" s="5">
        <v>50332.200000000004</v>
      </c>
      <c r="G17" s="4" t="s">
        <v>2513</v>
      </c>
      <c r="H17" s="6">
        <v>0.52495717387974916</v>
      </c>
      <c r="I17" s="6">
        <v>0.3711684913156732</v>
      </c>
      <c r="J17" s="6">
        <v>2.6245886489133303E-2</v>
      </c>
      <c r="K17" s="6">
        <v>7.7628448315444312E-2</v>
      </c>
      <c r="L17" s="6">
        <v>1</v>
      </c>
    </row>
    <row r="18" spans="1:12" x14ac:dyDescent="0.3">
      <c r="A18" s="4">
        <v>8</v>
      </c>
      <c r="B18">
        <v>1128</v>
      </c>
      <c r="C18" s="5">
        <v>58760.599999999977</v>
      </c>
    </row>
    <row r="19" spans="1:12" x14ac:dyDescent="0.3">
      <c r="A19" s="4">
        <v>9</v>
      </c>
      <c r="B19">
        <v>1007</v>
      </c>
      <c r="C19" s="5">
        <v>52017.299999999996</v>
      </c>
    </row>
    <row r="20" spans="1:12" x14ac:dyDescent="0.3">
      <c r="A20" s="4">
        <v>10</v>
      </c>
      <c r="B20">
        <v>1128</v>
      </c>
      <c r="C20" s="5">
        <v>64915.700000000033</v>
      </c>
      <c r="G20" s="7"/>
      <c r="H20" s="8"/>
      <c r="I20" s="8"/>
      <c r="J20" s="8"/>
      <c r="K20" s="9"/>
    </row>
    <row r="21" spans="1:12" x14ac:dyDescent="0.3">
      <c r="A21" s="4">
        <v>11</v>
      </c>
      <c r="B21">
        <v>861</v>
      </c>
      <c r="C21" s="5">
        <v>45943.80000000001</v>
      </c>
    </row>
    <row r="22" spans="1:12" ht="19.8" customHeight="1" x14ac:dyDescent="0.3">
      <c r="A22" s="4">
        <v>12</v>
      </c>
      <c r="B22">
        <v>944</v>
      </c>
      <c r="C22" s="5">
        <v>55077.900000000031</v>
      </c>
    </row>
    <row r="23" spans="1:12" ht="19.8" customHeight="1" x14ac:dyDescent="0.3">
      <c r="A23" s="4">
        <v>13</v>
      </c>
      <c r="B23">
        <v>788</v>
      </c>
      <c r="C23" s="5">
        <v>45926.19999999999</v>
      </c>
    </row>
    <row r="24" spans="1:12" ht="19.8" customHeight="1" x14ac:dyDescent="0.3">
      <c r="A24" s="4" t="s">
        <v>2513</v>
      </c>
      <c r="B24">
        <v>11997</v>
      </c>
      <c r="C24" s="5">
        <v>649019.79999999993</v>
      </c>
    </row>
    <row r="25" spans="1:12" ht="19.2" customHeight="1" x14ac:dyDescent="0.3"/>
    <row r="26" spans="1:12" ht="20.399999999999999" customHeight="1" x14ac:dyDescent="0.3"/>
    <row r="34" spans="1:10" x14ac:dyDescent="0.3">
      <c r="A34" s="3" t="s">
        <v>2512</v>
      </c>
      <c r="B34" t="s">
        <v>2504</v>
      </c>
    </row>
    <row r="35" spans="1:10" x14ac:dyDescent="0.3">
      <c r="A35" s="4">
        <v>1</v>
      </c>
      <c r="B35">
        <v>397</v>
      </c>
    </row>
    <row r="36" spans="1:10" x14ac:dyDescent="0.3">
      <c r="A36" s="4">
        <v>2</v>
      </c>
      <c r="B36">
        <v>540</v>
      </c>
    </row>
    <row r="37" spans="1:10" x14ac:dyDescent="0.3">
      <c r="A37" s="4">
        <v>3</v>
      </c>
      <c r="B37">
        <v>375</v>
      </c>
    </row>
    <row r="38" spans="1:10" x14ac:dyDescent="0.3">
      <c r="A38" s="4">
        <v>4</v>
      </c>
      <c r="B38">
        <v>246</v>
      </c>
    </row>
    <row r="39" spans="1:10" x14ac:dyDescent="0.3">
      <c r="A39" s="4">
        <v>5</v>
      </c>
      <c r="B39">
        <v>195</v>
      </c>
    </row>
    <row r="40" spans="1:10" x14ac:dyDescent="0.3">
      <c r="A40" s="4" t="s">
        <v>2520</v>
      </c>
      <c r="B40">
        <v>414</v>
      </c>
    </row>
    <row r="41" spans="1:10" x14ac:dyDescent="0.3">
      <c r="A41" s="4" t="s">
        <v>2521</v>
      </c>
      <c r="B41">
        <v>233</v>
      </c>
    </row>
    <row r="42" spans="1:10" x14ac:dyDescent="0.3">
      <c r="A42" s="4" t="s">
        <v>2513</v>
      </c>
      <c r="B42">
        <v>2400</v>
      </c>
    </row>
    <row r="47" spans="1:10" x14ac:dyDescent="0.3">
      <c r="I47" s="3" t="s">
        <v>2512</v>
      </c>
      <c r="J47" t="s">
        <v>2505</v>
      </c>
    </row>
    <row r="48" spans="1:10" x14ac:dyDescent="0.3">
      <c r="I48" s="4" t="s">
        <v>2516</v>
      </c>
      <c r="J48">
        <v>6272</v>
      </c>
    </row>
    <row r="49" spans="1:10" x14ac:dyDescent="0.3">
      <c r="I49" s="4" t="s">
        <v>2517</v>
      </c>
      <c r="J49">
        <v>4672</v>
      </c>
    </row>
    <row r="50" spans="1:10" x14ac:dyDescent="0.3">
      <c r="A50" s="3" t="s">
        <v>2505</v>
      </c>
      <c r="B50" s="3" t="s">
        <v>2514</v>
      </c>
      <c r="I50" s="4" t="s">
        <v>2518</v>
      </c>
      <c r="J50">
        <v>317</v>
      </c>
    </row>
    <row r="51" spans="1:10" x14ac:dyDescent="0.3">
      <c r="A51" s="3" t="s">
        <v>2512</v>
      </c>
      <c r="B51" t="s">
        <v>2516</v>
      </c>
      <c r="C51" t="s">
        <v>2517</v>
      </c>
      <c r="D51" t="s">
        <v>2518</v>
      </c>
      <c r="E51" t="s">
        <v>2519</v>
      </c>
      <c r="F51" t="s">
        <v>2513</v>
      </c>
      <c r="I51" s="4" t="s">
        <v>2519</v>
      </c>
      <c r="J51">
        <v>736</v>
      </c>
    </row>
    <row r="52" spans="1:10" x14ac:dyDescent="0.3">
      <c r="A52" s="4" t="s">
        <v>44</v>
      </c>
      <c r="B52">
        <v>744</v>
      </c>
      <c r="C52">
        <v>713</v>
      </c>
      <c r="D52">
        <v>90</v>
      </c>
      <c r="E52">
        <v>98</v>
      </c>
      <c r="F52">
        <v>1645</v>
      </c>
      <c r="I52" s="4" t="s">
        <v>2513</v>
      </c>
      <c r="J52">
        <v>11997</v>
      </c>
    </row>
    <row r="53" spans="1:10" x14ac:dyDescent="0.3">
      <c r="A53" s="4" t="s">
        <v>39</v>
      </c>
      <c r="B53">
        <v>716</v>
      </c>
      <c r="C53">
        <v>598</v>
      </c>
      <c r="D53">
        <v>18</v>
      </c>
      <c r="E53">
        <v>214</v>
      </c>
      <c r="F53">
        <v>1546</v>
      </c>
    </row>
    <row r="54" spans="1:10" x14ac:dyDescent="0.3">
      <c r="A54" s="4" t="s">
        <v>26</v>
      </c>
      <c r="B54">
        <v>627</v>
      </c>
      <c r="C54">
        <v>393</v>
      </c>
      <c r="D54">
        <v>29</v>
      </c>
      <c r="E54">
        <v>137</v>
      </c>
      <c r="F54">
        <v>1186</v>
      </c>
    </row>
    <row r="55" spans="1:10" x14ac:dyDescent="0.3">
      <c r="A55" s="4" t="s">
        <v>22</v>
      </c>
      <c r="B55">
        <v>568</v>
      </c>
      <c r="C55">
        <v>306</v>
      </c>
      <c r="D55">
        <v>22</v>
      </c>
      <c r="E55">
        <v>16</v>
      </c>
      <c r="F55">
        <v>912</v>
      </c>
    </row>
    <row r="56" spans="1:10" x14ac:dyDescent="0.3">
      <c r="A56" s="4" t="s">
        <v>54</v>
      </c>
      <c r="B56">
        <v>482</v>
      </c>
      <c r="C56">
        <v>295</v>
      </c>
      <c r="D56">
        <v>8</v>
      </c>
      <c r="E56">
        <v>22</v>
      </c>
      <c r="F56">
        <v>807</v>
      </c>
    </row>
    <row r="57" spans="1:10" x14ac:dyDescent="0.3">
      <c r="A57" s="4" t="s">
        <v>16</v>
      </c>
      <c r="B57">
        <v>428</v>
      </c>
      <c r="C57">
        <v>293</v>
      </c>
      <c r="E57">
        <v>24</v>
      </c>
      <c r="F57">
        <v>745</v>
      </c>
    </row>
    <row r="58" spans="1:10" x14ac:dyDescent="0.3">
      <c r="A58" s="4" t="s">
        <v>46</v>
      </c>
      <c r="B58">
        <v>445</v>
      </c>
      <c r="C58">
        <v>202</v>
      </c>
      <c r="D58">
        <v>14</v>
      </c>
      <c r="E58">
        <v>39</v>
      </c>
      <c r="F58">
        <v>700</v>
      </c>
    </row>
    <row r="59" spans="1:10" x14ac:dyDescent="0.3">
      <c r="A59" s="4" t="s">
        <v>32</v>
      </c>
      <c r="B59">
        <v>431</v>
      </c>
      <c r="C59">
        <v>187</v>
      </c>
      <c r="D59">
        <v>14</v>
      </c>
      <c r="E59">
        <v>15</v>
      </c>
      <c r="F59">
        <v>647</v>
      </c>
    </row>
    <row r="60" spans="1:10" x14ac:dyDescent="0.3">
      <c r="A60" s="4" t="s">
        <v>42</v>
      </c>
      <c r="B60">
        <v>264</v>
      </c>
      <c r="C60">
        <v>318</v>
      </c>
      <c r="D60">
        <v>15</v>
      </c>
      <c r="E60">
        <v>9</v>
      </c>
      <c r="F60">
        <v>606</v>
      </c>
    </row>
    <row r="61" spans="1:10" x14ac:dyDescent="0.3">
      <c r="A61" s="4" t="s">
        <v>37</v>
      </c>
      <c r="B61">
        <v>296</v>
      </c>
      <c r="C61">
        <v>275</v>
      </c>
      <c r="D61">
        <v>9</v>
      </c>
      <c r="E61">
        <v>23</v>
      </c>
      <c r="F61">
        <v>603</v>
      </c>
    </row>
    <row r="62" spans="1:10" x14ac:dyDescent="0.3">
      <c r="A62" s="4" t="s">
        <v>123</v>
      </c>
      <c r="B62">
        <v>153</v>
      </c>
      <c r="C62">
        <v>246</v>
      </c>
      <c r="D62">
        <v>30</v>
      </c>
      <c r="E62">
        <v>8</v>
      </c>
      <c r="F62">
        <v>437</v>
      </c>
    </row>
    <row r="63" spans="1:10" x14ac:dyDescent="0.3">
      <c r="A63" s="4" t="s">
        <v>146</v>
      </c>
      <c r="B63">
        <v>189</v>
      </c>
      <c r="C63">
        <v>168</v>
      </c>
      <c r="D63">
        <v>10</v>
      </c>
      <c r="E63">
        <v>31</v>
      </c>
      <c r="F63">
        <v>398</v>
      </c>
    </row>
    <row r="64" spans="1:10" x14ac:dyDescent="0.3">
      <c r="A64" s="4" t="s">
        <v>69</v>
      </c>
      <c r="B64">
        <v>234</v>
      </c>
      <c r="C64">
        <v>93</v>
      </c>
      <c r="D64">
        <v>19</v>
      </c>
      <c r="E64">
        <v>24</v>
      </c>
      <c r="F64">
        <v>370</v>
      </c>
    </row>
    <row r="65" spans="1:13" x14ac:dyDescent="0.3">
      <c r="A65" s="4" t="s">
        <v>30</v>
      </c>
      <c r="B65">
        <v>146</v>
      </c>
      <c r="C65">
        <v>94</v>
      </c>
      <c r="D65">
        <v>4</v>
      </c>
      <c r="E65">
        <v>28</v>
      </c>
      <c r="F65">
        <v>272</v>
      </c>
    </row>
    <row r="66" spans="1:13" x14ac:dyDescent="0.3">
      <c r="A66" s="4" t="s">
        <v>135</v>
      </c>
      <c r="B66">
        <v>127</v>
      </c>
      <c r="C66">
        <v>118</v>
      </c>
      <c r="D66">
        <v>13</v>
      </c>
      <c r="E66">
        <v>12</v>
      </c>
      <c r="F66">
        <v>270</v>
      </c>
    </row>
    <row r="67" spans="1:13" x14ac:dyDescent="0.3">
      <c r="A67" s="4" t="s">
        <v>67</v>
      </c>
      <c r="B67">
        <v>179</v>
      </c>
      <c r="C67">
        <v>76</v>
      </c>
      <c r="D67">
        <v>3</v>
      </c>
      <c r="F67">
        <v>258</v>
      </c>
    </row>
    <row r="68" spans="1:13" x14ac:dyDescent="0.3">
      <c r="A68" s="4" t="s">
        <v>128</v>
      </c>
      <c r="B68">
        <v>99</v>
      </c>
      <c r="C68">
        <v>69</v>
      </c>
      <c r="D68">
        <v>3</v>
      </c>
      <c r="E68">
        <v>24</v>
      </c>
      <c r="F68">
        <v>195</v>
      </c>
    </row>
    <row r="69" spans="1:13" x14ac:dyDescent="0.3">
      <c r="A69" s="4" t="s">
        <v>76</v>
      </c>
      <c r="B69">
        <v>75</v>
      </c>
      <c r="C69">
        <v>103</v>
      </c>
      <c r="D69">
        <v>4</v>
      </c>
      <c r="E69">
        <v>6</v>
      </c>
      <c r="F69">
        <v>188</v>
      </c>
    </row>
    <row r="70" spans="1:13" x14ac:dyDescent="0.3">
      <c r="A70" s="4" t="s">
        <v>81</v>
      </c>
      <c r="B70">
        <v>43</v>
      </c>
      <c r="C70">
        <v>90</v>
      </c>
      <c r="D70">
        <v>8</v>
      </c>
      <c r="E70">
        <v>6</v>
      </c>
      <c r="F70">
        <v>147</v>
      </c>
    </row>
    <row r="71" spans="1:13" x14ac:dyDescent="0.3">
      <c r="A71" s="4" t="s">
        <v>171</v>
      </c>
      <c r="B71">
        <v>26</v>
      </c>
      <c r="C71">
        <v>35</v>
      </c>
      <c r="D71">
        <v>4</v>
      </c>
      <c r="F71">
        <v>65</v>
      </c>
    </row>
    <row r="72" spans="1:13" x14ac:dyDescent="0.3">
      <c r="A72" s="4" t="s">
        <v>2513</v>
      </c>
      <c r="B72">
        <v>6272</v>
      </c>
      <c r="C72">
        <v>4672</v>
      </c>
      <c r="D72">
        <v>317</v>
      </c>
      <c r="E72">
        <v>736</v>
      </c>
      <c r="F72">
        <v>11997</v>
      </c>
    </row>
    <row r="78" spans="1:13" x14ac:dyDescent="0.3">
      <c r="G78" t="s">
        <v>2522</v>
      </c>
      <c r="K78" t="s">
        <v>2523</v>
      </c>
    </row>
    <row r="80" spans="1:13" x14ac:dyDescent="0.3">
      <c r="A80" s="3" t="s">
        <v>10</v>
      </c>
      <c r="B80" s="3" t="s">
        <v>11</v>
      </c>
      <c r="C80" t="s">
        <v>2505</v>
      </c>
      <c r="D80" t="s">
        <v>2506</v>
      </c>
      <c r="G80" t="str">
        <f>A80</f>
        <v>State</v>
      </c>
      <c r="H80" t="str">
        <f t="shared" ref="H80" si="2">B80</f>
        <v>County</v>
      </c>
      <c r="I80" t="s">
        <v>2</v>
      </c>
      <c r="K80" t="s">
        <v>10</v>
      </c>
      <c r="L80" t="s">
        <v>11</v>
      </c>
      <c r="M80" t="s">
        <v>4</v>
      </c>
    </row>
    <row r="81" spans="1:13" x14ac:dyDescent="0.3">
      <c r="A81" t="s">
        <v>19</v>
      </c>
      <c r="B81" t="s">
        <v>115</v>
      </c>
      <c r="C81">
        <v>579</v>
      </c>
      <c r="D81">
        <v>31884.999999999996</v>
      </c>
      <c r="G81" t="str">
        <f>IF(A81="","",A81)</f>
        <v>California</v>
      </c>
      <c r="H81" t="str">
        <f>IF(B81="","",B81)</f>
        <v>Alameda County</v>
      </c>
      <c r="I81">
        <f>IF(C81="","",C81)</f>
        <v>579</v>
      </c>
      <c r="K81" t="str">
        <f>IF(A81="","",A81)</f>
        <v>California</v>
      </c>
      <c r="L81" t="str">
        <f t="shared" ref="L81:L96" si="3">IF(B81="","",B81)</f>
        <v>Alameda County</v>
      </c>
      <c r="M81">
        <f>IF(D81="","",D81)</f>
        <v>31884.999999999996</v>
      </c>
    </row>
    <row r="82" spans="1:13" x14ac:dyDescent="0.3">
      <c r="A82" t="s">
        <v>19</v>
      </c>
      <c r="B82" t="s">
        <v>20</v>
      </c>
      <c r="C82">
        <v>1</v>
      </c>
      <c r="D82">
        <v>10.9</v>
      </c>
      <c r="G82" t="str">
        <f t="shared" ref="G82:G138" si="4">IF(A82="","",A82)</f>
        <v>California</v>
      </c>
      <c r="H82" t="str">
        <f t="shared" ref="H82:H138" si="5">IF(B82="","",B82)</f>
        <v>Alpine County</v>
      </c>
      <c r="I82">
        <f t="shared" ref="I82:I138" si="6">IF(C82="","",C82)</f>
        <v>1</v>
      </c>
      <c r="K82" t="str">
        <f t="shared" ref="K82:M138" si="7">IF(A82="","",A82)</f>
        <v>California</v>
      </c>
      <c r="L82" t="str">
        <f t="shared" si="3"/>
        <v>Alpine County</v>
      </c>
      <c r="M82">
        <f t="shared" ref="M82:M130" si="8">IF(D82="","",D82)</f>
        <v>10.9</v>
      </c>
    </row>
    <row r="83" spans="1:13" x14ac:dyDescent="0.3">
      <c r="A83" t="s">
        <v>19</v>
      </c>
      <c r="B83" t="s">
        <v>641</v>
      </c>
      <c r="C83">
        <v>9</v>
      </c>
      <c r="D83">
        <v>800.3</v>
      </c>
      <c r="G83" t="str">
        <f t="shared" si="4"/>
        <v>California</v>
      </c>
      <c r="H83" t="str">
        <f t="shared" si="5"/>
        <v>Amador County</v>
      </c>
      <c r="I83">
        <f t="shared" si="6"/>
        <v>9</v>
      </c>
      <c r="K83" t="str">
        <f t="shared" si="7"/>
        <v>California</v>
      </c>
      <c r="L83" t="str">
        <f t="shared" si="3"/>
        <v>Amador County</v>
      </c>
      <c r="M83">
        <f t="shared" si="8"/>
        <v>800.3</v>
      </c>
    </row>
    <row r="84" spans="1:13" x14ac:dyDescent="0.3">
      <c r="A84" t="s">
        <v>19</v>
      </c>
      <c r="B84" t="s">
        <v>967</v>
      </c>
      <c r="C84">
        <v>35</v>
      </c>
      <c r="D84">
        <v>1062.5999999999999</v>
      </c>
      <c r="G84" t="str">
        <f t="shared" si="4"/>
        <v>California</v>
      </c>
      <c r="H84" t="str">
        <f t="shared" si="5"/>
        <v>Butte County</v>
      </c>
      <c r="I84">
        <f t="shared" si="6"/>
        <v>35</v>
      </c>
      <c r="K84" t="str">
        <f t="shared" si="7"/>
        <v>California</v>
      </c>
      <c r="L84" t="str">
        <f t="shared" si="3"/>
        <v>Butte County</v>
      </c>
      <c r="M84">
        <f t="shared" si="8"/>
        <v>1062.5999999999999</v>
      </c>
    </row>
    <row r="85" spans="1:13" x14ac:dyDescent="0.3">
      <c r="A85" t="s">
        <v>19</v>
      </c>
      <c r="B85" t="s">
        <v>84</v>
      </c>
      <c r="C85">
        <v>12</v>
      </c>
      <c r="D85">
        <v>326.20000000000005</v>
      </c>
      <c r="G85" t="str">
        <f t="shared" si="4"/>
        <v>California</v>
      </c>
      <c r="H85" t="str">
        <f t="shared" si="5"/>
        <v>Calaveras County</v>
      </c>
      <c r="I85">
        <f t="shared" si="6"/>
        <v>12</v>
      </c>
      <c r="K85" t="str">
        <f t="shared" si="7"/>
        <v>California</v>
      </c>
      <c r="L85" t="str">
        <f t="shared" si="3"/>
        <v>Calaveras County</v>
      </c>
      <c r="M85">
        <f t="shared" si="8"/>
        <v>326.20000000000005</v>
      </c>
    </row>
    <row r="86" spans="1:13" x14ac:dyDescent="0.3">
      <c r="A86" t="s">
        <v>19</v>
      </c>
      <c r="B86" t="s">
        <v>1383</v>
      </c>
      <c r="C86">
        <v>4</v>
      </c>
      <c r="D86">
        <v>167.5</v>
      </c>
      <c r="G86" t="str">
        <f t="shared" si="4"/>
        <v>California</v>
      </c>
      <c r="H86" t="str">
        <f t="shared" si="5"/>
        <v>Colusa County</v>
      </c>
      <c r="I86">
        <f t="shared" si="6"/>
        <v>4</v>
      </c>
      <c r="K86" t="str">
        <f t="shared" si="7"/>
        <v>California</v>
      </c>
      <c r="L86" t="str">
        <f t="shared" si="3"/>
        <v>Colusa County</v>
      </c>
      <c r="M86">
        <f t="shared" si="8"/>
        <v>167.5</v>
      </c>
    </row>
    <row r="87" spans="1:13" x14ac:dyDescent="0.3">
      <c r="A87" t="s">
        <v>19</v>
      </c>
      <c r="B87" t="s">
        <v>24</v>
      </c>
      <c r="C87">
        <v>341</v>
      </c>
      <c r="D87">
        <v>16168.7</v>
      </c>
      <c r="G87" t="str">
        <f t="shared" si="4"/>
        <v>California</v>
      </c>
      <c r="H87" t="str">
        <f t="shared" si="5"/>
        <v>Contra Costa County</v>
      </c>
      <c r="I87">
        <f t="shared" si="6"/>
        <v>341</v>
      </c>
      <c r="K87" t="str">
        <f t="shared" si="7"/>
        <v>California</v>
      </c>
      <c r="L87" t="str">
        <f t="shared" si="3"/>
        <v>Contra Costa County</v>
      </c>
      <c r="M87">
        <f t="shared" si="8"/>
        <v>16168.7</v>
      </c>
    </row>
    <row r="88" spans="1:13" x14ac:dyDescent="0.3">
      <c r="A88" t="s">
        <v>19</v>
      </c>
      <c r="B88" t="s">
        <v>2204</v>
      </c>
      <c r="C88">
        <v>13</v>
      </c>
      <c r="D88">
        <v>322.40000000000003</v>
      </c>
      <c r="G88" t="str">
        <f t="shared" si="4"/>
        <v>California</v>
      </c>
      <c r="H88" t="str">
        <f t="shared" si="5"/>
        <v>Del Norte County</v>
      </c>
      <c r="I88">
        <f t="shared" si="6"/>
        <v>13</v>
      </c>
      <c r="K88" t="str">
        <f t="shared" si="7"/>
        <v>California</v>
      </c>
      <c r="L88" t="str">
        <f t="shared" si="3"/>
        <v>Del Norte County</v>
      </c>
      <c r="M88">
        <f t="shared" si="8"/>
        <v>322.40000000000003</v>
      </c>
    </row>
    <row r="89" spans="1:13" x14ac:dyDescent="0.3">
      <c r="A89" t="s">
        <v>19</v>
      </c>
      <c r="B89" t="s">
        <v>437</v>
      </c>
      <c r="C89">
        <v>31</v>
      </c>
      <c r="D89">
        <v>2092.8000000000002</v>
      </c>
      <c r="G89" t="str">
        <f t="shared" si="4"/>
        <v>California</v>
      </c>
      <c r="H89" t="str">
        <f t="shared" si="5"/>
        <v>El Dorado County</v>
      </c>
      <c r="I89">
        <f t="shared" si="6"/>
        <v>31</v>
      </c>
      <c r="K89" t="str">
        <f t="shared" si="7"/>
        <v>California</v>
      </c>
      <c r="L89" t="str">
        <f t="shared" si="3"/>
        <v>El Dorado County</v>
      </c>
      <c r="M89">
        <f t="shared" si="8"/>
        <v>2092.8000000000002</v>
      </c>
    </row>
    <row r="90" spans="1:13" x14ac:dyDescent="0.3">
      <c r="A90" t="s">
        <v>19</v>
      </c>
      <c r="B90" t="s">
        <v>28</v>
      </c>
      <c r="C90">
        <v>279</v>
      </c>
      <c r="D90">
        <v>12662.500000000002</v>
      </c>
      <c r="G90" t="str">
        <f t="shared" si="4"/>
        <v>California</v>
      </c>
      <c r="H90" t="str">
        <f t="shared" si="5"/>
        <v>Fresno County</v>
      </c>
      <c r="I90">
        <f t="shared" si="6"/>
        <v>279</v>
      </c>
      <c r="K90" t="str">
        <f t="shared" si="7"/>
        <v>California</v>
      </c>
      <c r="L90" t="str">
        <f t="shared" si="3"/>
        <v>Fresno County</v>
      </c>
      <c r="M90">
        <f t="shared" si="8"/>
        <v>12662.500000000002</v>
      </c>
    </row>
    <row r="91" spans="1:13" x14ac:dyDescent="0.3">
      <c r="A91" t="s">
        <v>19</v>
      </c>
      <c r="B91" t="s">
        <v>208</v>
      </c>
      <c r="C91">
        <v>9</v>
      </c>
      <c r="D91">
        <v>343.2</v>
      </c>
      <c r="G91" t="str">
        <f t="shared" si="4"/>
        <v>California</v>
      </c>
      <c r="H91" t="str">
        <f t="shared" si="5"/>
        <v>Glenn County</v>
      </c>
      <c r="I91">
        <f t="shared" si="6"/>
        <v>9</v>
      </c>
      <c r="K91" t="str">
        <f t="shared" si="7"/>
        <v>California</v>
      </c>
      <c r="L91" t="str">
        <f t="shared" si="3"/>
        <v>Glenn County</v>
      </c>
      <c r="M91">
        <f t="shared" si="8"/>
        <v>343.2</v>
      </c>
    </row>
    <row r="92" spans="1:13" x14ac:dyDescent="0.3">
      <c r="A92" t="s">
        <v>19</v>
      </c>
      <c r="B92" t="s">
        <v>587</v>
      </c>
      <c r="C92">
        <v>49</v>
      </c>
      <c r="D92">
        <v>2188.2999999999997</v>
      </c>
      <c r="G92" t="str">
        <f t="shared" si="4"/>
        <v>California</v>
      </c>
      <c r="H92" t="str">
        <f t="shared" si="5"/>
        <v>Humboldt County</v>
      </c>
      <c r="I92">
        <f t="shared" si="6"/>
        <v>49</v>
      </c>
      <c r="K92" t="str">
        <f t="shared" si="7"/>
        <v>California</v>
      </c>
      <c r="L92" t="str">
        <f t="shared" si="3"/>
        <v>Humboldt County</v>
      </c>
      <c r="M92">
        <f t="shared" si="8"/>
        <v>2188.2999999999997</v>
      </c>
    </row>
    <row r="93" spans="1:13" x14ac:dyDescent="0.3">
      <c r="A93" t="s">
        <v>19</v>
      </c>
      <c r="B93" t="s">
        <v>331</v>
      </c>
      <c r="C93">
        <v>59</v>
      </c>
      <c r="D93">
        <v>2661.5999999999995</v>
      </c>
      <c r="G93" t="str">
        <f t="shared" si="4"/>
        <v>California</v>
      </c>
      <c r="H93" t="str">
        <f t="shared" si="5"/>
        <v>Imperial County</v>
      </c>
      <c r="I93">
        <f t="shared" si="6"/>
        <v>59</v>
      </c>
      <c r="K93" t="str">
        <f t="shared" si="7"/>
        <v>California</v>
      </c>
      <c r="L93" t="str">
        <f t="shared" si="3"/>
        <v>Imperial County</v>
      </c>
      <c r="M93">
        <f t="shared" si="8"/>
        <v>2661.5999999999995</v>
      </c>
    </row>
    <row r="94" spans="1:13" x14ac:dyDescent="0.3">
      <c r="A94" t="s">
        <v>19</v>
      </c>
      <c r="B94" t="s">
        <v>86</v>
      </c>
      <c r="C94">
        <v>8</v>
      </c>
      <c r="D94">
        <v>887.5</v>
      </c>
      <c r="G94" t="str">
        <f t="shared" si="4"/>
        <v>California</v>
      </c>
      <c r="H94" t="str">
        <f t="shared" si="5"/>
        <v>Inyo County</v>
      </c>
      <c r="I94">
        <f t="shared" si="6"/>
        <v>8</v>
      </c>
      <c r="K94" t="str">
        <f t="shared" si="7"/>
        <v>California</v>
      </c>
      <c r="L94" t="str">
        <f t="shared" si="3"/>
        <v>Inyo County</v>
      </c>
      <c r="M94">
        <f t="shared" si="8"/>
        <v>887.5</v>
      </c>
    </row>
    <row r="95" spans="1:13" x14ac:dyDescent="0.3">
      <c r="A95" t="s">
        <v>19</v>
      </c>
      <c r="B95" t="s">
        <v>147</v>
      </c>
      <c r="C95">
        <v>222</v>
      </c>
      <c r="D95">
        <v>11354.199999999993</v>
      </c>
      <c r="G95" t="str">
        <f t="shared" si="4"/>
        <v>California</v>
      </c>
      <c r="H95" t="str">
        <f t="shared" si="5"/>
        <v>Kern County</v>
      </c>
      <c r="I95">
        <f t="shared" si="6"/>
        <v>222</v>
      </c>
      <c r="K95" t="str">
        <f t="shared" si="7"/>
        <v>California</v>
      </c>
      <c r="L95" t="str">
        <f t="shared" si="3"/>
        <v>Kern County</v>
      </c>
      <c r="M95">
        <f t="shared" si="8"/>
        <v>11354.199999999993</v>
      </c>
    </row>
    <row r="96" spans="1:13" x14ac:dyDescent="0.3">
      <c r="A96" t="s">
        <v>19</v>
      </c>
      <c r="B96" t="s">
        <v>334</v>
      </c>
      <c r="C96">
        <v>36</v>
      </c>
      <c r="D96">
        <v>1558.4</v>
      </c>
      <c r="G96" t="str">
        <f t="shared" si="4"/>
        <v>California</v>
      </c>
      <c r="H96" t="str">
        <f t="shared" si="5"/>
        <v>Kings County</v>
      </c>
      <c r="I96">
        <f t="shared" si="6"/>
        <v>36</v>
      </c>
      <c r="K96" t="str">
        <f t="shared" si="7"/>
        <v>California</v>
      </c>
      <c r="L96" t="str">
        <f t="shared" si="3"/>
        <v>Kings County</v>
      </c>
      <c r="M96">
        <f t="shared" si="8"/>
        <v>1558.4</v>
      </c>
    </row>
    <row r="97" spans="1:13" x14ac:dyDescent="0.3">
      <c r="A97" t="s">
        <v>19</v>
      </c>
      <c r="B97" t="s">
        <v>949</v>
      </c>
      <c r="C97">
        <v>30</v>
      </c>
      <c r="D97">
        <v>2223.9</v>
      </c>
      <c r="G97" t="str">
        <f t="shared" si="4"/>
        <v>California</v>
      </c>
      <c r="H97" t="str">
        <f t="shared" si="5"/>
        <v>Lake County</v>
      </c>
      <c r="I97">
        <f t="shared" si="6"/>
        <v>30</v>
      </c>
      <c r="K97" t="str">
        <f t="shared" si="7"/>
        <v>California</v>
      </c>
      <c r="L97" t="str">
        <f t="shared" si="7"/>
        <v>Lake County</v>
      </c>
      <c r="M97">
        <f t="shared" si="8"/>
        <v>2223.9</v>
      </c>
    </row>
    <row r="98" spans="1:13" x14ac:dyDescent="0.3">
      <c r="A98" t="s">
        <v>19</v>
      </c>
      <c r="B98" t="s">
        <v>1426</v>
      </c>
      <c r="C98">
        <v>1</v>
      </c>
      <c r="D98">
        <v>26.2</v>
      </c>
      <c r="G98" t="str">
        <f t="shared" si="4"/>
        <v>California</v>
      </c>
      <c r="H98" t="str">
        <f t="shared" si="5"/>
        <v>Lassen County</v>
      </c>
      <c r="I98">
        <f t="shared" si="6"/>
        <v>1</v>
      </c>
      <c r="K98" t="str">
        <f t="shared" si="7"/>
        <v>California</v>
      </c>
      <c r="L98" t="str">
        <f t="shared" si="7"/>
        <v>Lassen County</v>
      </c>
      <c r="M98">
        <f t="shared" si="8"/>
        <v>26.2</v>
      </c>
    </row>
    <row r="99" spans="1:13" x14ac:dyDescent="0.3">
      <c r="A99" t="s">
        <v>19</v>
      </c>
      <c r="B99" t="s">
        <v>33</v>
      </c>
      <c r="C99">
        <v>3991</v>
      </c>
      <c r="D99">
        <v>215551.19999999981</v>
      </c>
      <c r="G99" t="str">
        <f t="shared" si="4"/>
        <v>California</v>
      </c>
      <c r="H99" t="str">
        <f t="shared" si="5"/>
        <v>Los Angeles County</v>
      </c>
      <c r="I99">
        <f t="shared" si="6"/>
        <v>3991</v>
      </c>
      <c r="K99" t="str">
        <f t="shared" si="7"/>
        <v>California</v>
      </c>
      <c r="L99" t="str">
        <f t="shared" si="7"/>
        <v>Los Angeles County</v>
      </c>
      <c r="M99">
        <f t="shared" si="8"/>
        <v>215551.19999999981</v>
      </c>
    </row>
    <row r="100" spans="1:13" x14ac:dyDescent="0.3">
      <c r="A100" t="s">
        <v>19</v>
      </c>
      <c r="B100" t="s">
        <v>364</v>
      </c>
      <c r="C100">
        <v>45</v>
      </c>
      <c r="D100">
        <v>2687.3999999999996</v>
      </c>
      <c r="G100" t="str">
        <f t="shared" si="4"/>
        <v>California</v>
      </c>
      <c r="H100" t="str">
        <f t="shared" si="5"/>
        <v>Madera County</v>
      </c>
      <c r="I100">
        <f t="shared" si="6"/>
        <v>45</v>
      </c>
      <c r="K100" t="str">
        <f t="shared" si="7"/>
        <v>California</v>
      </c>
      <c r="L100" t="str">
        <f t="shared" si="7"/>
        <v>Madera County</v>
      </c>
      <c r="M100">
        <f t="shared" si="8"/>
        <v>2687.3999999999996</v>
      </c>
    </row>
    <row r="101" spans="1:13" x14ac:dyDescent="0.3">
      <c r="A101" t="s">
        <v>19</v>
      </c>
      <c r="B101" t="s">
        <v>545</v>
      </c>
      <c r="C101">
        <v>39</v>
      </c>
      <c r="D101">
        <v>1463.3000000000002</v>
      </c>
      <c r="G101" t="str">
        <f t="shared" si="4"/>
        <v>California</v>
      </c>
      <c r="H101" t="str">
        <f t="shared" si="5"/>
        <v>Marin County</v>
      </c>
      <c r="I101">
        <f t="shared" si="6"/>
        <v>39</v>
      </c>
      <c r="K101" t="str">
        <f t="shared" si="7"/>
        <v>California</v>
      </c>
      <c r="L101" t="str">
        <f t="shared" si="7"/>
        <v>Marin County</v>
      </c>
      <c r="M101">
        <f t="shared" si="8"/>
        <v>1463.3000000000002</v>
      </c>
    </row>
    <row r="102" spans="1:13" x14ac:dyDescent="0.3">
      <c r="A102" t="s">
        <v>19</v>
      </c>
      <c r="B102" t="s">
        <v>416</v>
      </c>
      <c r="C102">
        <v>6</v>
      </c>
      <c r="D102">
        <v>445.79999999999995</v>
      </c>
      <c r="G102" t="str">
        <f t="shared" si="4"/>
        <v>California</v>
      </c>
      <c r="H102" t="str">
        <f t="shared" si="5"/>
        <v>Mariposa County</v>
      </c>
      <c r="I102">
        <f t="shared" si="6"/>
        <v>6</v>
      </c>
      <c r="K102" t="str">
        <f t="shared" si="7"/>
        <v>California</v>
      </c>
      <c r="L102" t="str">
        <f t="shared" si="7"/>
        <v>Mariposa County</v>
      </c>
      <c r="M102">
        <f t="shared" si="8"/>
        <v>445.79999999999995</v>
      </c>
    </row>
    <row r="103" spans="1:13" x14ac:dyDescent="0.3">
      <c r="A103" t="s">
        <v>19</v>
      </c>
      <c r="B103" t="s">
        <v>258</v>
      </c>
      <c r="C103">
        <v>9</v>
      </c>
      <c r="D103">
        <v>273.59999999999997</v>
      </c>
      <c r="G103" t="str">
        <f t="shared" si="4"/>
        <v>California</v>
      </c>
      <c r="H103" t="str">
        <f t="shared" si="5"/>
        <v>Mendocino County</v>
      </c>
      <c r="I103">
        <f t="shared" si="6"/>
        <v>9</v>
      </c>
      <c r="K103" t="str">
        <f t="shared" si="7"/>
        <v>California</v>
      </c>
      <c r="L103" t="str">
        <f t="shared" si="7"/>
        <v>Mendocino County</v>
      </c>
      <c r="M103">
        <f t="shared" si="8"/>
        <v>273.59999999999997</v>
      </c>
    </row>
    <row r="104" spans="1:13" x14ac:dyDescent="0.3">
      <c r="A104" t="s">
        <v>19</v>
      </c>
      <c r="B104" t="s">
        <v>186</v>
      </c>
      <c r="C104">
        <v>60</v>
      </c>
      <c r="D104">
        <v>2690.4</v>
      </c>
      <c r="G104" t="str">
        <f t="shared" si="4"/>
        <v>California</v>
      </c>
      <c r="H104" t="str">
        <f t="shared" si="5"/>
        <v>Merced County</v>
      </c>
      <c r="I104">
        <f t="shared" si="6"/>
        <v>60</v>
      </c>
      <c r="K104" t="str">
        <f t="shared" si="7"/>
        <v>California</v>
      </c>
      <c r="L104" t="str">
        <f t="shared" si="7"/>
        <v>Merced County</v>
      </c>
      <c r="M104">
        <f t="shared" si="8"/>
        <v>2690.4</v>
      </c>
    </row>
    <row r="105" spans="1:13" x14ac:dyDescent="0.3">
      <c r="A105" t="s">
        <v>19</v>
      </c>
      <c r="B105" t="s">
        <v>392</v>
      </c>
      <c r="C105">
        <v>2</v>
      </c>
      <c r="D105">
        <v>28.4</v>
      </c>
      <c r="G105" t="str">
        <f t="shared" si="4"/>
        <v>California</v>
      </c>
      <c r="H105" t="str">
        <f t="shared" si="5"/>
        <v>Modoc County</v>
      </c>
      <c r="I105">
        <f t="shared" si="6"/>
        <v>2</v>
      </c>
      <c r="K105" t="str">
        <f t="shared" si="7"/>
        <v>California</v>
      </c>
      <c r="L105" t="str">
        <f t="shared" si="7"/>
        <v>Modoc County</v>
      </c>
      <c r="M105">
        <f t="shared" si="8"/>
        <v>28.4</v>
      </c>
    </row>
    <row r="106" spans="1:13" x14ac:dyDescent="0.3">
      <c r="A106" t="s">
        <v>19</v>
      </c>
      <c r="B106" t="s">
        <v>670</v>
      </c>
      <c r="C106">
        <v>4</v>
      </c>
      <c r="D106">
        <v>204.8</v>
      </c>
      <c r="G106" t="str">
        <f t="shared" si="4"/>
        <v>California</v>
      </c>
      <c r="H106" t="str">
        <f t="shared" si="5"/>
        <v>Mono County</v>
      </c>
      <c r="I106">
        <f t="shared" si="6"/>
        <v>4</v>
      </c>
      <c r="K106" t="str">
        <f t="shared" si="7"/>
        <v>California</v>
      </c>
      <c r="L106" t="str">
        <f t="shared" si="7"/>
        <v>Mono County</v>
      </c>
      <c r="M106">
        <f t="shared" si="8"/>
        <v>204.8</v>
      </c>
    </row>
    <row r="107" spans="1:13" x14ac:dyDescent="0.3">
      <c r="A107" t="s">
        <v>19</v>
      </c>
      <c r="B107" t="s">
        <v>802</v>
      </c>
      <c r="C107">
        <v>31</v>
      </c>
      <c r="D107">
        <v>1607.8999999999999</v>
      </c>
      <c r="G107" t="str">
        <f t="shared" si="4"/>
        <v>California</v>
      </c>
      <c r="H107" t="str">
        <f t="shared" si="5"/>
        <v>Monterey County</v>
      </c>
      <c r="I107">
        <f t="shared" si="6"/>
        <v>31</v>
      </c>
      <c r="K107" t="str">
        <f t="shared" si="7"/>
        <v>California</v>
      </c>
      <c r="L107" t="str">
        <f t="shared" si="7"/>
        <v>Monterey County</v>
      </c>
      <c r="M107">
        <f t="shared" si="8"/>
        <v>1607.8999999999999</v>
      </c>
    </row>
    <row r="108" spans="1:13" x14ac:dyDescent="0.3">
      <c r="A108" t="s">
        <v>19</v>
      </c>
      <c r="B108" t="s">
        <v>98</v>
      </c>
      <c r="C108">
        <v>88</v>
      </c>
      <c r="D108">
        <v>6444.9</v>
      </c>
      <c r="G108" t="str">
        <f t="shared" si="4"/>
        <v>California</v>
      </c>
      <c r="H108" t="str">
        <f t="shared" si="5"/>
        <v>Napa County</v>
      </c>
      <c r="I108">
        <f t="shared" si="6"/>
        <v>88</v>
      </c>
      <c r="K108" t="str">
        <f t="shared" si="7"/>
        <v>California</v>
      </c>
      <c r="L108" t="str">
        <f t="shared" si="7"/>
        <v>Napa County</v>
      </c>
      <c r="M108">
        <f t="shared" si="8"/>
        <v>6444.9</v>
      </c>
    </row>
    <row r="109" spans="1:13" x14ac:dyDescent="0.3">
      <c r="A109" t="s">
        <v>19</v>
      </c>
      <c r="B109" t="s">
        <v>49</v>
      </c>
      <c r="C109">
        <v>25</v>
      </c>
      <c r="D109">
        <v>1809.3</v>
      </c>
      <c r="G109" t="str">
        <f t="shared" si="4"/>
        <v>California</v>
      </c>
      <c r="H109" t="str">
        <f t="shared" si="5"/>
        <v>Nevada County</v>
      </c>
      <c r="I109">
        <f t="shared" si="6"/>
        <v>25</v>
      </c>
      <c r="K109" t="str">
        <f t="shared" si="7"/>
        <v>California</v>
      </c>
      <c r="L109" t="str">
        <f t="shared" si="7"/>
        <v>Nevada County</v>
      </c>
      <c r="M109">
        <f t="shared" si="8"/>
        <v>1809.3</v>
      </c>
    </row>
    <row r="110" spans="1:13" x14ac:dyDescent="0.3">
      <c r="A110" t="s">
        <v>19</v>
      </c>
      <c r="B110" t="s">
        <v>188</v>
      </c>
      <c r="C110">
        <v>178</v>
      </c>
      <c r="D110">
        <v>9680.399999999996</v>
      </c>
      <c r="G110" t="str">
        <f t="shared" si="4"/>
        <v>California</v>
      </c>
      <c r="H110" t="str">
        <f t="shared" si="5"/>
        <v>Orange County</v>
      </c>
      <c r="I110">
        <f t="shared" si="6"/>
        <v>178</v>
      </c>
      <c r="K110" t="str">
        <f t="shared" si="7"/>
        <v>California</v>
      </c>
      <c r="L110" t="str">
        <f t="shared" si="7"/>
        <v>Orange County</v>
      </c>
      <c r="M110">
        <f t="shared" si="8"/>
        <v>9680.399999999996</v>
      </c>
    </row>
    <row r="111" spans="1:13" x14ac:dyDescent="0.3">
      <c r="A111" t="s">
        <v>19</v>
      </c>
      <c r="B111" t="s">
        <v>52</v>
      </c>
      <c r="C111">
        <v>141</v>
      </c>
      <c r="D111">
        <v>9414.7999999999993</v>
      </c>
      <c r="G111" t="str">
        <f t="shared" si="4"/>
        <v>California</v>
      </c>
      <c r="H111" t="str">
        <f t="shared" si="5"/>
        <v>Placer County</v>
      </c>
      <c r="I111">
        <f t="shared" si="6"/>
        <v>141</v>
      </c>
      <c r="K111" t="str">
        <f t="shared" si="7"/>
        <v>California</v>
      </c>
      <c r="L111" t="str">
        <f t="shared" si="7"/>
        <v>Placer County</v>
      </c>
      <c r="M111">
        <f t="shared" si="8"/>
        <v>9414.7999999999993</v>
      </c>
    </row>
    <row r="112" spans="1:13" x14ac:dyDescent="0.3">
      <c r="A112" t="s">
        <v>19</v>
      </c>
      <c r="B112" t="s">
        <v>338</v>
      </c>
      <c r="C112">
        <v>6</v>
      </c>
      <c r="D112">
        <v>206.1</v>
      </c>
      <c r="G112" t="str">
        <f t="shared" si="4"/>
        <v>California</v>
      </c>
      <c r="H112" t="str">
        <f t="shared" si="5"/>
        <v>Plumas County</v>
      </c>
      <c r="I112">
        <f t="shared" si="6"/>
        <v>6</v>
      </c>
      <c r="K112" t="str">
        <f t="shared" si="7"/>
        <v>California</v>
      </c>
      <c r="L112" t="str">
        <f t="shared" si="7"/>
        <v>Plumas County</v>
      </c>
      <c r="M112">
        <f t="shared" si="8"/>
        <v>206.1</v>
      </c>
    </row>
    <row r="113" spans="1:13" x14ac:dyDescent="0.3">
      <c r="A113" t="s">
        <v>19</v>
      </c>
      <c r="B113" t="s">
        <v>158</v>
      </c>
      <c r="C113">
        <v>178</v>
      </c>
      <c r="D113">
        <v>7691.3</v>
      </c>
      <c r="G113" t="str">
        <f t="shared" si="4"/>
        <v>California</v>
      </c>
      <c r="H113" t="str">
        <f t="shared" si="5"/>
        <v>Riverside County</v>
      </c>
      <c r="I113">
        <f t="shared" si="6"/>
        <v>178</v>
      </c>
      <c r="K113" t="str">
        <f t="shared" si="7"/>
        <v>California</v>
      </c>
      <c r="L113" t="str">
        <f t="shared" si="7"/>
        <v>Riverside County</v>
      </c>
      <c r="M113">
        <f t="shared" si="8"/>
        <v>7691.3</v>
      </c>
    </row>
    <row r="114" spans="1:13" x14ac:dyDescent="0.3">
      <c r="A114" t="s">
        <v>19</v>
      </c>
      <c r="B114" t="s">
        <v>55</v>
      </c>
      <c r="C114">
        <v>699</v>
      </c>
      <c r="D114">
        <v>37784.900000000016</v>
      </c>
      <c r="G114" t="str">
        <f t="shared" si="4"/>
        <v>California</v>
      </c>
      <c r="H114" t="str">
        <f t="shared" si="5"/>
        <v>Sacramento County</v>
      </c>
      <c r="I114">
        <f t="shared" si="6"/>
        <v>699</v>
      </c>
      <c r="K114" t="str">
        <f t="shared" si="7"/>
        <v>California</v>
      </c>
      <c r="L114" t="str">
        <f t="shared" si="7"/>
        <v>Sacramento County</v>
      </c>
      <c r="M114">
        <f t="shared" si="8"/>
        <v>37784.900000000016</v>
      </c>
    </row>
    <row r="115" spans="1:13" x14ac:dyDescent="0.3">
      <c r="A115" t="s">
        <v>19</v>
      </c>
      <c r="B115" t="s">
        <v>342</v>
      </c>
      <c r="C115">
        <v>23</v>
      </c>
      <c r="D115">
        <v>1129.7</v>
      </c>
      <c r="G115" t="str">
        <f>IF(A115="","",A115)</f>
        <v>California</v>
      </c>
      <c r="H115" t="str">
        <f t="shared" si="5"/>
        <v>San Benito County</v>
      </c>
      <c r="I115">
        <f t="shared" si="6"/>
        <v>23</v>
      </c>
      <c r="K115" t="str">
        <f t="shared" si="7"/>
        <v>California</v>
      </c>
      <c r="L115" t="str">
        <f t="shared" si="7"/>
        <v>San Benito County</v>
      </c>
      <c r="M115">
        <f t="shared" si="8"/>
        <v>1129.7</v>
      </c>
    </row>
    <row r="116" spans="1:13" x14ac:dyDescent="0.3">
      <c r="A116" t="s">
        <v>19</v>
      </c>
      <c r="B116" t="s">
        <v>59</v>
      </c>
      <c r="C116">
        <v>356</v>
      </c>
      <c r="D116">
        <v>20988.9</v>
      </c>
      <c r="G116" t="str">
        <f t="shared" si="4"/>
        <v>California</v>
      </c>
      <c r="H116" t="str">
        <f t="shared" si="5"/>
        <v>San Bernardino County</v>
      </c>
      <c r="I116">
        <f t="shared" si="6"/>
        <v>356</v>
      </c>
      <c r="K116" t="str">
        <f t="shared" si="7"/>
        <v>California</v>
      </c>
      <c r="L116" t="str">
        <f t="shared" si="7"/>
        <v>San Bernardino County</v>
      </c>
      <c r="M116">
        <f t="shared" si="8"/>
        <v>20988.9</v>
      </c>
    </row>
    <row r="117" spans="1:13" x14ac:dyDescent="0.3">
      <c r="A117" t="s">
        <v>19</v>
      </c>
      <c r="B117" t="s">
        <v>62</v>
      </c>
      <c r="C117">
        <v>1768</v>
      </c>
      <c r="D117">
        <v>98367.099999999977</v>
      </c>
      <c r="G117" t="str">
        <f t="shared" si="4"/>
        <v>California</v>
      </c>
      <c r="H117" t="str">
        <f t="shared" si="5"/>
        <v>San Diego County</v>
      </c>
      <c r="I117">
        <f t="shared" si="6"/>
        <v>1768</v>
      </c>
      <c r="K117" t="str">
        <f t="shared" si="7"/>
        <v>California</v>
      </c>
      <c r="L117" t="str">
        <f t="shared" si="7"/>
        <v>San Diego County</v>
      </c>
      <c r="M117">
        <f t="shared" si="8"/>
        <v>98367.099999999977</v>
      </c>
    </row>
    <row r="118" spans="1:13" x14ac:dyDescent="0.3">
      <c r="A118" t="s">
        <v>19</v>
      </c>
      <c r="B118" t="s">
        <v>103</v>
      </c>
      <c r="C118">
        <v>307</v>
      </c>
      <c r="D118">
        <v>21911.9</v>
      </c>
      <c r="G118" t="str">
        <f t="shared" si="4"/>
        <v>California</v>
      </c>
      <c r="H118" t="str">
        <f t="shared" si="5"/>
        <v>San Francisco</v>
      </c>
      <c r="I118">
        <f t="shared" si="6"/>
        <v>307</v>
      </c>
      <c r="K118" t="str">
        <f t="shared" si="7"/>
        <v>California</v>
      </c>
      <c r="L118" t="str">
        <f t="shared" si="7"/>
        <v>San Francisco</v>
      </c>
      <c r="M118">
        <f t="shared" si="8"/>
        <v>21911.9</v>
      </c>
    </row>
    <row r="119" spans="1:13" x14ac:dyDescent="0.3">
      <c r="A119" t="s">
        <v>19</v>
      </c>
      <c r="B119" t="s">
        <v>201</v>
      </c>
      <c r="C119">
        <v>117</v>
      </c>
      <c r="D119">
        <v>5441.2</v>
      </c>
      <c r="G119" t="str">
        <f t="shared" si="4"/>
        <v>California</v>
      </c>
      <c r="H119" t="str">
        <f t="shared" si="5"/>
        <v>San Joaquin County</v>
      </c>
      <c r="I119">
        <f t="shared" si="6"/>
        <v>117</v>
      </c>
      <c r="K119" t="str">
        <f t="shared" si="7"/>
        <v>California</v>
      </c>
      <c r="L119" t="str">
        <f t="shared" si="7"/>
        <v>San Joaquin County</v>
      </c>
      <c r="M119">
        <f t="shared" si="8"/>
        <v>5441.2</v>
      </c>
    </row>
    <row r="120" spans="1:13" x14ac:dyDescent="0.3">
      <c r="A120" t="s">
        <v>19</v>
      </c>
      <c r="B120" t="s">
        <v>429</v>
      </c>
      <c r="C120">
        <v>13</v>
      </c>
      <c r="D120">
        <v>392.8</v>
      </c>
      <c r="G120" t="str">
        <f t="shared" si="4"/>
        <v>California</v>
      </c>
      <c r="H120" t="str">
        <f t="shared" si="5"/>
        <v>San Luis Obispo County</v>
      </c>
      <c r="I120">
        <f t="shared" si="6"/>
        <v>13</v>
      </c>
      <c r="K120" t="str">
        <f t="shared" si="7"/>
        <v>California</v>
      </c>
      <c r="L120" t="str">
        <f t="shared" si="7"/>
        <v>San Luis Obispo County</v>
      </c>
      <c r="M120">
        <f t="shared" si="8"/>
        <v>392.8</v>
      </c>
    </row>
    <row r="121" spans="1:13" x14ac:dyDescent="0.3">
      <c r="A121" t="s">
        <v>19</v>
      </c>
      <c r="B121" t="s">
        <v>72</v>
      </c>
      <c r="C121">
        <v>364</v>
      </c>
      <c r="D121">
        <v>16172.000000000005</v>
      </c>
      <c r="G121" t="str">
        <f t="shared" si="4"/>
        <v>California</v>
      </c>
      <c r="H121" t="str">
        <f t="shared" si="5"/>
        <v>San Mateo County</v>
      </c>
      <c r="I121">
        <f t="shared" si="6"/>
        <v>364</v>
      </c>
      <c r="K121" t="str">
        <f t="shared" si="7"/>
        <v>California</v>
      </c>
      <c r="L121" t="str">
        <f t="shared" si="7"/>
        <v>San Mateo County</v>
      </c>
      <c r="M121">
        <f t="shared" si="8"/>
        <v>16172.000000000005</v>
      </c>
    </row>
    <row r="122" spans="1:13" x14ac:dyDescent="0.3">
      <c r="A122" t="s">
        <v>19</v>
      </c>
      <c r="B122" t="s">
        <v>74</v>
      </c>
      <c r="C122">
        <v>95</v>
      </c>
      <c r="D122">
        <v>4334.9999999999991</v>
      </c>
      <c r="G122" t="str">
        <f t="shared" si="4"/>
        <v>California</v>
      </c>
      <c r="H122" t="str">
        <f t="shared" si="5"/>
        <v>Santa Barbara County</v>
      </c>
      <c r="I122">
        <f t="shared" si="6"/>
        <v>95</v>
      </c>
      <c r="K122" t="str">
        <f t="shared" si="7"/>
        <v>California</v>
      </c>
      <c r="L122" t="str">
        <f t="shared" si="7"/>
        <v>Santa Barbara County</v>
      </c>
      <c r="M122">
        <f t="shared" si="8"/>
        <v>4334.9999999999991</v>
      </c>
    </row>
    <row r="123" spans="1:13" x14ac:dyDescent="0.3">
      <c r="A123" t="s">
        <v>19</v>
      </c>
      <c r="B123" t="s">
        <v>77</v>
      </c>
      <c r="C123">
        <v>737</v>
      </c>
      <c r="D123">
        <v>37449.000000000007</v>
      </c>
      <c r="G123" t="str">
        <f t="shared" si="4"/>
        <v>California</v>
      </c>
      <c r="H123" t="str">
        <f t="shared" si="5"/>
        <v>Santa Clara County</v>
      </c>
      <c r="I123">
        <f t="shared" si="6"/>
        <v>737</v>
      </c>
      <c r="K123" t="str">
        <f t="shared" si="7"/>
        <v>California</v>
      </c>
      <c r="L123" t="str">
        <f t="shared" si="7"/>
        <v>Santa Clara County</v>
      </c>
      <c r="M123">
        <f t="shared" si="8"/>
        <v>37449.000000000007</v>
      </c>
    </row>
    <row r="124" spans="1:13" x14ac:dyDescent="0.3">
      <c r="A124" t="s">
        <v>19</v>
      </c>
      <c r="B124" t="s">
        <v>309</v>
      </c>
      <c r="C124">
        <v>39</v>
      </c>
      <c r="D124">
        <v>2447.5</v>
      </c>
      <c r="G124" t="str">
        <f t="shared" si="4"/>
        <v>California</v>
      </c>
      <c r="H124" t="str">
        <f t="shared" si="5"/>
        <v>Santa Cruz County</v>
      </c>
      <c r="I124">
        <f t="shared" si="6"/>
        <v>39</v>
      </c>
      <c r="K124" t="str">
        <f t="shared" si="7"/>
        <v>California</v>
      </c>
      <c r="L124" t="str">
        <f t="shared" si="7"/>
        <v>Santa Cruz County</v>
      </c>
      <c r="M124">
        <f t="shared" si="8"/>
        <v>2447.5</v>
      </c>
    </row>
    <row r="125" spans="1:13" x14ac:dyDescent="0.3">
      <c r="A125" t="s">
        <v>19</v>
      </c>
      <c r="B125" t="s">
        <v>1116</v>
      </c>
      <c r="C125">
        <v>56</v>
      </c>
      <c r="D125">
        <v>3391.1</v>
      </c>
      <c r="G125" t="str">
        <f t="shared" si="4"/>
        <v>California</v>
      </c>
      <c r="H125" t="str">
        <f t="shared" si="5"/>
        <v>Shasta County</v>
      </c>
      <c r="I125">
        <f t="shared" si="6"/>
        <v>56</v>
      </c>
      <c r="K125" t="str">
        <f t="shared" si="7"/>
        <v>California</v>
      </c>
      <c r="L125" t="str">
        <f t="shared" si="7"/>
        <v>Shasta County</v>
      </c>
      <c r="M125">
        <f t="shared" si="8"/>
        <v>3391.1</v>
      </c>
    </row>
    <row r="126" spans="1:13" x14ac:dyDescent="0.3">
      <c r="A126" t="s">
        <v>19</v>
      </c>
      <c r="B126" t="s">
        <v>700</v>
      </c>
      <c r="C126">
        <v>2</v>
      </c>
      <c r="D126">
        <v>30.8</v>
      </c>
      <c r="G126" t="str">
        <f t="shared" si="4"/>
        <v>California</v>
      </c>
      <c r="H126" t="str">
        <f t="shared" si="5"/>
        <v>Sierra County</v>
      </c>
      <c r="I126">
        <f t="shared" si="6"/>
        <v>2</v>
      </c>
      <c r="K126" t="str">
        <f t="shared" si="7"/>
        <v>California</v>
      </c>
      <c r="L126" t="str">
        <f t="shared" si="7"/>
        <v>Sierra County</v>
      </c>
      <c r="M126">
        <f t="shared" si="8"/>
        <v>30.8</v>
      </c>
    </row>
    <row r="127" spans="1:13" x14ac:dyDescent="0.3">
      <c r="A127" t="s">
        <v>19</v>
      </c>
      <c r="B127" t="s">
        <v>268</v>
      </c>
      <c r="C127">
        <v>8</v>
      </c>
      <c r="D127">
        <v>332.3</v>
      </c>
      <c r="G127" t="str">
        <f t="shared" si="4"/>
        <v>California</v>
      </c>
      <c r="H127" t="str">
        <f t="shared" si="5"/>
        <v>Siskiyou County</v>
      </c>
      <c r="I127">
        <f t="shared" si="6"/>
        <v>8</v>
      </c>
      <c r="K127" t="str">
        <f t="shared" si="7"/>
        <v>California</v>
      </c>
      <c r="L127" t="str">
        <f t="shared" si="7"/>
        <v>Siskiyou County</v>
      </c>
      <c r="M127">
        <f t="shared" si="8"/>
        <v>332.3</v>
      </c>
    </row>
    <row r="128" spans="1:13" x14ac:dyDescent="0.3">
      <c r="A128" t="s">
        <v>19</v>
      </c>
      <c r="B128" t="s">
        <v>377</v>
      </c>
      <c r="C128">
        <v>52</v>
      </c>
      <c r="D128">
        <v>3175.9999999999995</v>
      </c>
      <c r="G128" t="str">
        <f t="shared" si="4"/>
        <v>California</v>
      </c>
      <c r="H128" t="str">
        <f t="shared" si="5"/>
        <v>Solano County</v>
      </c>
      <c r="I128">
        <f t="shared" si="6"/>
        <v>52</v>
      </c>
      <c r="K128" t="str">
        <f t="shared" si="7"/>
        <v>California</v>
      </c>
      <c r="L128" t="str">
        <f t="shared" si="7"/>
        <v>Solano County</v>
      </c>
      <c r="M128">
        <f t="shared" si="8"/>
        <v>3175.9999999999995</v>
      </c>
    </row>
    <row r="129" spans="1:13" x14ac:dyDescent="0.3">
      <c r="A129" t="s">
        <v>19</v>
      </c>
      <c r="B129" t="s">
        <v>108</v>
      </c>
      <c r="C129">
        <v>295</v>
      </c>
      <c r="D129">
        <v>20939.600000000002</v>
      </c>
      <c r="G129" t="str">
        <f t="shared" si="4"/>
        <v>California</v>
      </c>
      <c r="H129" t="str">
        <f t="shared" si="5"/>
        <v>Sonoma County</v>
      </c>
      <c r="I129">
        <f t="shared" si="6"/>
        <v>295</v>
      </c>
      <c r="K129" t="str">
        <f t="shared" si="7"/>
        <v>California</v>
      </c>
      <c r="L129" t="str">
        <f t="shared" si="7"/>
        <v>Sonoma County</v>
      </c>
      <c r="M129">
        <f t="shared" si="8"/>
        <v>20939.600000000002</v>
      </c>
    </row>
    <row r="130" spans="1:13" x14ac:dyDescent="0.3">
      <c r="A130" t="s">
        <v>19</v>
      </c>
      <c r="B130" t="s">
        <v>110</v>
      </c>
      <c r="C130">
        <v>195</v>
      </c>
      <c r="D130">
        <v>10185.899999999996</v>
      </c>
      <c r="G130" t="str">
        <f t="shared" si="4"/>
        <v>California</v>
      </c>
      <c r="H130" t="str">
        <f t="shared" si="5"/>
        <v>Stanislaus County</v>
      </c>
      <c r="I130">
        <f t="shared" si="6"/>
        <v>195</v>
      </c>
      <c r="K130" t="str">
        <f t="shared" si="7"/>
        <v>California</v>
      </c>
      <c r="L130" t="str">
        <f t="shared" si="7"/>
        <v>Stanislaus County</v>
      </c>
      <c r="M130">
        <f t="shared" si="8"/>
        <v>10185.899999999996</v>
      </c>
    </row>
    <row r="131" spans="1:13" x14ac:dyDescent="0.3">
      <c r="A131" t="s">
        <v>19</v>
      </c>
      <c r="B131" t="s">
        <v>292</v>
      </c>
      <c r="C131">
        <v>20</v>
      </c>
      <c r="D131">
        <v>958.7</v>
      </c>
      <c r="G131" t="str">
        <f t="shared" si="4"/>
        <v>California</v>
      </c>
      <c r="H131" t="str">
        <f t="shared" si="5"/>
        <v>Sutter County</v>
      </c>
      <c r="I131">
        <f t="shared" si="6"/>
        <v>20</v>
      </c>
      <c r="K131" t="str">
        <f t="shared" si="7"/>
        <v>California</v>
      </c>
      <c r="L131" t="str">
        <f t="shared" si="7"/>
        <v>Sutter County</v>
      </c>
      <c r="M131">
        <f t="shared" si="7"/>
        <v>20</v>
      </c>
    </row>
    <row r="132" spans="1:13" x14ac:dyDescent="0.3">
      <c r="A132" t="s">
        <v>19</v>
      </c>
      <c r="B132" t="s">
        <v>79</v>
      </c>
      <c r="C132">
        <v>6</v>
      </c>
      <c r="D132">
        <v>323</v>
      </c>
      <c r="G132" t="str">
        <f t="shared" si="4"/>
        <v>California</v>
      </c>
      <c r="H132" t="str">
        <f t="shared" si="5"/>
        <v>Tehama County</v>
      </c>
      <c r="I132">
        <f t="shared" si="6"/>
        <v>6</v>
      </c>
      <c r="K132" t="str">
        <f t="shared" si="7"/>
        <v>California</v>
      </c>
      <c r="L132" t="str">
        <f t="shared" si="7"/>
        <v>Tehama County</v>
      </c>
      <c r="M132">
        <f t="shared" si="7"/>
        <v>6</v>
      </c>
    </row>
    <row r="133" spans="1:13" x14ac:dyDescent="0.3">
      <c r="A133" t="s">
        <v>19</v>
      </c>
      <c r="B133" t="s">
        <v>608</v>
      </c>
      <c r="C133">
        <v>5</v>
      </c>
      <c r="D133">
        <v>167.70000000000002</v>
      </c>
      <c r="G133" t="str">
        <f t="shared" si="4"/>
        <v>California</v>
      </c>
      <c r="H133" t="str">
        <f t="shared" si="5"/>
        <v>Trinity County</v>
      </c>
      <c r="I133">
        <f t="shared" si="6"/>
        <v>5</v>
      </c>
      <c r="K133" t="str">
        <f t="shared" si="7"/>
        <v>California</v>
      </c>
      <c r="L133" t="str">
        <f t="shared" si="7"/>
        <v>Trinity County</v>
      </c>
      <c r="M133">
        <f t="shared" si="7"/>
        <v>5</v>
      </c>
    </row>
    <row r="134" spans="1:13" x14ac:dyDescent="0.3">
      <c r="A134" t="s">
        <v>19</v>
      </c>
      <c r="B134" t="s">
        <v>113</v>
      </c>
      <c r="C134">
        <v>94</v>
      </c>
      <c r="D134">
        <v>3978.5</v>
      </c>
      <c r="G134" t="str">
        <f t="shared" si="4"/>
        <v>California</v>
      </c>
      <c r="H134" t="str">
        <f t="shared" si="5"/>
        <v>Tulare County</v>
      </c>
      <c r="I134">
        <f t="shared" si="6"/>
        <v>94</v>
      </c>
      <c r="K134" t="str">
        <f t="shared" si="7"/>
        <v>California</v>
      </c>
      <c r="L134" t="str">
        <f t="shared" si="7"/>
        <v>Tulare County</v>
      </c>
      <c r="M134">
        <f t="shared" si="7"/>
        <v>94</v>
      </c>
    </row>
    <row r="135" spans="1:13" x14ac:dyDescent="0.3">
      <c r="A135" t="s">
        <v>19</v>
      </c>
      <c r="B135" t="s">
        <v>997</v>
      </c>
      <c r="C135">
        <v>28</v>
      </c>
      <c r="D135">
        <v>1405</v>
      </c>
      <c r="G135" t="str">
        <f t="shared" si="4"/>
        <v>California</v>
      </c>
      <c r="H135" t="str">
        <f t="shared" si="5"/>
        <v>Tuolumne County</v>
      </c>
      <c r="I135">
        <f t="shared" si="6"/>
        <v>28</v>
      </c>
      <c r="K135" t="str">
        <f t="shared" si="7"/>
        <v>California</v>
      </c>
      <c r="L135" t="str">
        <f t="shared" si="7"/>
        <v>Tuolumne County</v>
      </c>
      <c r="M135">
        <f t="shared" si="7"/>
        <v>28</v>
      </c>
    </row>
    <row r="136" spans="1:13" x14ac:dyDescent="0.3">
      <c r="A136" t="s">
        <v>19</v>
      </c>
      <c r="B136" t="s">
        <v>82</v>
      </c>
      <c r="C136">
        <v>179</v>
      </c>
      <c r="D136">
        <v>9869.0999999999985</v>
      </c>
      <c r="G136" t="str">
        <f t="shared" si="4"/>
        <v>California</v>
      </c>
      <c r="H136" t="str">
        <f t="shared" si="5"/>
        <v>Ventura County</v>
      </c>
      <c r="I136">
        <f t="shared" si="6"/>
        <v>179</v>
      </c>
      <c r="K136" t="str">
        <f t="shared" si="7"/>
        <v>California</v>
      </c>
      <c r="L136" t="str">
        <f t="shared" si="7"/>
        <v>Ventura County</v>
      </c>
      <c r="M136">
        <f t="shared" si="7"/>
        <v>179</v>
      </c>
    </row>
    <row r="137" spans="1:13" x14ac:dyDescent="0.3">
      <c r="A137" t="s">
        <v>19</v>
      </c>
      <c r="B137" t="s">
        <v>243</v>
      </c>
      <c r="C137">
        <v>15</v>
      </c>
      <c r="D137">
        <v>615.29999999999995</v>
      </c>
      <c r="G137" t="str">
        <f t="shared" si="4"/>
        <v>California</v>
      </c>
      <c r="H137" t="str">
        <f t="shared" si="5"/>
        <v>Yolo County</v>
      </c>
      <c r="I137">
        <f t="shared" si="6"/>
        <v>15</v>
      </c>
      <c r="K137" t="str">
        <f t="shared" si="7"/>
        <v>California</v>
      </c>
      <c r="L137" t="str">
        <f t="shared" si="7"/>
        <v>Yolo County</v>
      </c>
      <c r="M137">
        <f t="shared" si="7"/>
        <v>15</v>
      </c>
    </row>
    <row r="138" spans="1:13" x14ac:dyDescent="0.3">
      <c r="A138" t="s">
        <v>19</v>
      </c>
      <c r="B138" t="s">
        <v>1911</v>
      </c>
      <c r="C138">
        <v>3</v>
      </c>
      <c r="D138">
        <v>285</v>
      </c>
      <c r="G138" t="str">
        <f t="shared" si="4"/>
        <v>California</v>
      </c>
      <c r="H138" t="str">
        <f t="shared" si="5"/>
        <v>Yuba County</v>
      </c>
      <c r="I138">
        <f t="shared" si="6"/>
        <v>3</v>
      </c>
      <c r="K138" t="str">
        <f t="shared" si="7"/>
        <v>California</v>
      </c>
      <c r="L138" t="str">
        <f t="shared" si="7"/>
        <v>Yuba County</v>
      </c>
      <c r="M138">
        <f t="shared" si="7"/>
        <v>3</v>
      </c>
    </row>
    <row r="145" spans="1:13" x14ac:dyDescent="0.3">
      <c r="A145" s="3" t="s">
        <v>2512</v>
      </c>
      <c r="B145" t="s">
        <v>2504</v>
      </c>
      <c r="G145" s="3" t="s">
        <v>2504</v>
      </c>
      <c r="H145" s="3" t="s">
        <v>2514</v>
      </c>
    </row>
    <row r="146" spans="1:13" x14ac:dyDescent="0.3">
      <c r="A146" s="4">
        <v>0</v>
      </c>
      <c r="B146">
        <v>175</v>
      </c>
      <c r="G146" s="3" t="s">
        <v>2512</v>
      </c>
      <c r="H146">
        <v>1</v>
      </c>
      <c r="I146">
        <v>2</v>
      </c>
      <c r="J146">
        <v>3</v>
      </c>
      <c r="K146">
        <v>4</v>
      </c>
      <c r="L146">
        <v>5</v>
      </c>
      <c r="M146" t="s">
        <v>2513</v>
      </c>
    </row>
    <row r="147" spans="1:13" x14ac:dyDescent="0.3">
      <c r="A147" s="4">
        <v>1</v>
      </c>
      <c r="B147">
        <v>888</v>
      </c>
      <c r="G147" s="4" t="s">
        <v>2524</v>
      </c>
      <c r="H147">
        <v>7</v>
      </c>
      <c r="I147">
        <v>37</v>
      </c>
      <c r="J147">
        <v>150</v>
      </c>
      <c r="K147">
        <v>312</v>
      </c>
      <c r="L147">
        <v>224</v>
      </c>
      <c r="M147">
        <v>730</v>
      </c>
    </row>
    <row r="148" spans="1:13" x14ac:dyDescent="0.3">
      <c r="A148" s="4">
        <v>2</v>
      </c>
      <c r="B148">
        <v>538</v>
      </c>
      <c r="G148" s="4" t="s">
        <v>2525</v>
      </c>
      <c r="H148">
        <v>8</v>
      </c>
      <c r="I148">
        <v>51</v>
      </c>
      <c r="J148">
        <v>182</v>
      </c>
      <c r="K148">
        <v>373</v>
      </c>
      <c r="L148">
        <v>247</v>
      </c>
      <c r="M148">
        <v>861</v>
      </c>
    </row>
    <row r="149" spans="1:13" x14ac:dyDescent="0.3">
      <c r="A149" s="4">
        <v>3</v>
      </c>
      <c r="B149">
        <v>344</v>
      </c>
      <c r="G149" s="4" t="s">
        <v>2526</v>
      </c>
      <c r="H149">
        <v>6</v>
      </c>
      <c r="I149">
        <v>39</v>
      </c>
      <c r="J149">
        <v>163</v>
      </c>
      <c r="K149">
        <v>351</v>
      </c>
      <c r="L149">
        <v>250</v>
      </c>
      <c r="M149">
        <v>809</v>
      </c>
    </row>
    <row r="150" spans="1:13" x14ac:dyDescent="0.3">
      <c r="A150" s="4">
        <v>4</v>
      </c>
      <c r="B150">
        <v>200</v>
      </c>
      <c r="G150" s="4" t="s">
        <v>2513</v>
      </c>
      <c r="H150">
        <v>21</v>
      </c>
      <c r="I150">
        <v>127</v>
      </c>
      <c r="J150">
        <v>495</v>
      </c>
      <c r="K150">
        <v>1036</v>
      </c>
      <c r="L150">
        <v>721</v>
      </c>
      <c r="M150">
        <v>2400</v>
      </c>
    </row>
    <row r="151" spans="1:13" x14ac:dyDescent="0.3">
      <c r="A151" s="4">
        <v>5</v>
      </c>
      <c r="B151">
        <v>94</v>
      </c>
    </row>
    <row r="152" spans="1:13" x14ac:dyDescent="0.3">
      <c r="A152" s="4">
        <v>6</v>
      </c>
      <c r="B152">
        <v>51</v>
      </c>
    </row>
    <row r="153" spans="1:13" x14ac:dyDescent="0.3">
      <c r="A153" s="4">
        <v>7</v>
      </c>
      <c r="B153">
        <v>32</v>
      </c>
    </row>
    <row r="154" spans="1:13" x14ac:dyDescent="0.3">
      <c r="A154" s="4">
        <v>8</v>
      </c>
      <c r="B154">
        <v>23</v>
      </c>
    </row>
    <row r="155" spans="1:13" x14ac:dyDescent="0.3">
      <c r="A155" s="4">
        <v>9</v>
      </c>
      <c r="B155">
        <v>9</v>
      </c>
    </row>
    <row r="156" spans="1:13" x14ac:dyDescent="0.3">
      <c r="A156" s="4">
        <v>10</v>
      </c>
      <c r="B156">
        <v>8</v>
      </c>
    </row>
    <row r="157" spans="1:13" x14ac:dyDescent="0.3">
      <c r="A157" s="4">
        <v>11</v>
      </c>
      <c r="B157">
        <v>11</v>
      </c>
    </row>
    <row r="158" spans="1:13" x14ac:dyDescent="0.3">
      <c r="A158" s="4">
        <v>12</v>
      </c>
      <c r="B158">
        <v>4</v>
      </c>
    </row>
    <row r="159" spans="1:13" x14ac:dyDescent="0.3">
      <c r="A159" s="4">
        <v>13</v>
      </c>
      <c r="B159">
        <v>10</v>
      </c>
    </row>
    <row r="160" spans="1:13" x14ac:dyDescent="0.3">
      <c r="A160" s="4">
        <v>14</v>
      </c>
      <c r="B160">
        <v>13</v>
      </c>
    </row>
    <row r="161" spans="1:2" x14ac:dyDescent="0.3">
      <c r="A161" s="4" t="s">
        <v>2513</v>
      </c>
      <c r="B161">
        <v>2400</v>
      </c>
    </row>
  </sheetData>
  <conditionalFormatting sqref="O11:R15">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DC36E-AA6E-47F9-B2FF-AF88EFFAF064}">
  <dimension ref="A1"/>
  <sheetViews>
    <sheetView tabSelected="1" zoomScale="98" workbookViewId="0">
      <selection activeCell="X17" sqref="X17"/>
    </sheetView>
  </sheetViews>
  <sheetFormatPr defaultRowHeight="14.4" x14ac:dyDescent="0.3"/>
  <cols>
    <col min="1" max="1" width="2.21875" customWidth="1"/>
    <col min="2" max="2" width="17.109375" customWidth="1"/>
    <col min="3" max="3" width="2.5546875" customWidth="1"/>
    <col min="16" max="16" width="8.886718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jami tharun</cp:lastModifiedBy>
  <dcterms:created xsi:type="dcterms:W3CDTF">2025-06-13T02:42:26Z</dcterms:created>
  <dcterms:modified xsi:type="dcterms:W3CDTF">2026-05-31T15:01:28Z</dcterms:modified>
</cp:coreProperties>
</file>